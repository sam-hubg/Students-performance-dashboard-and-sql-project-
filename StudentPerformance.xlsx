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<sst xmlns="http://schemas.openxmlformats.org/spreadsheetml/2006/main" count="382" uniqueCount="134">
  <si>
    <t xml:space="preserve">Student_ID</t>
  </si>
  <si>
    <t xml:space="preserve">Name</t>
  </si>
  <si>
    <t xml:space="preserve">Gender</t>
  </si>
  <si>
    <t xml:space="preserve">Age</t>
  </si>
  <si>
    <t xml:space="preserve">City</t>
  </si>
  <si>
    <t xml:space="preserve">Math</t>
  </si>
  <si>
    <t xml:space="preserve">Science</t>
  </si>
  <si>
    <t xml:space="preserve">English</t>
  </si>
  <si>
    <t xml:space="preserve">Hindi</t>
  </si>
  <si>
    <t xml:space="preserve">Computer</t>
  </si>
  <si>
    <t xml:space="preserve">Total</t>
  </si>
  <si>
    <t xml:space="preserve">Percentage</t>
  </si>
  <si>
    <t xml:space="preserve">Grade</t>
  </si>
  <si>
    <t xml:space="preserve">Attendance_%</t>
  </si>
  <si>
    <t xml:space="preserve">Study_Hours_Per_Day</t>
  </si>
  <si>
    <t xml:space="preserve">Parent_Education</t>
  </si>
  <si>
    <t xml:space="preserve">Internet_Access</t>
  </si>
  <si>
    <t xml:space="preserve">Extra_Coaching</t>
  </si>
  <si>
    <t xml:space="preserve">Pass_Fail</t>
  </si>
  <si>
    <t xml:space="preserve">S1001</t>
  </si>
  <si>
    <t xml:space="preserve">Preeti</t>
  </si>
  <si>
    <t xml:space="preserve">Female</t>
  </si>
  <si>
    <t xml:space="preserve">Allahabad</t>
  </si>
  <si>
    <t xml:space="preserve">Graduate</t>
  </si>
  <si>
    <t xml:space="preserve">Yes</t>
  </si>
  <si>
    <t xml:space="preserve">No</t>
  </si>
  <si>
    <t xml:space="preserve">S1002</t>
  </si>
  <si>
    <t xml:space="preserve">Varun</t>
  </si>
  <si>
    <t xml:space="preserve">Male</t>
  </si>
  <si>
    <t xml:space="preserve">Meerut</t>
  </si>
  <si>
    <t xml:space="preserve">S1003</t>
  </si>
  <si>
    <t xml:space="preserve">Sanjay</t>
  </si>
  <si>
    <t xml:space="preserve">Varanasi</t>
  </si>
  <si>
    <t xml:space="preserve">Secondary</t>
  </si>
  <si>
    <t xml:space="preserve">S1004</t>
  </si>
  <si>
    <t xml:space="preserve">Tarun</t>
  </si>
  <si>
    <t xml:space="preserve">Noida</t>
  </si>
  <si>
    <t xml:space="preserve">Post-Graduate</t>
  </si>
  <si>
    <t xml:space="preserve">S1005</t>
  </si>
  <si>
    <t xml:space="preserve">Sachin</t>
  </si>
  <si>
    <t xml:space="preserve">S1006</t>
  </si>
  <si>
    <t xml:space="preserve">Mathura</t>
  </si>
  <si>
    <t xml:space="preserve">S1007</t>
  </si>
  <si>
    <t xml:space="preserve">Neha</t>
  </si>
  <si>
    <t xml:space="preserve">S1008</t>
  </si>
  <si>
    <t xml:space="preserve">Piyush</t>
  </si>
  <si>
    <t xml:space="preserve">Aligarh</t>
  </si>
  <si>
    <t xml:space="preserve">S1009</t>
  </si>
  <si>
    <t xml:space="preserve">Jyoti</t>
  </si>
  <si>
    <t xml:space="preserve">S1010</t>
  </si>
  <si>
    <t xml:space="preserve">Lokesh</t>
  </si>
  <si>
    <t xml:space="preserve">S1011</t>
  </si>
  <si>
    <t xml:space="preserve">Anjali</t>
  </si>
  <si>
    <t xml:space="preserve">Bareilly</t>
  </si>
  <si>
    <t xml:space="preserve">S1012</t>
  </si>
  <si>
    <t xml:space="preserve">Deepak</t>
  </si>
  <si>
    <t xml:space="preserve">S1013</t>
  </si>
  <si>
    <t xml:space="preserve">Aarav</t>
  </si>
  <si>
    <t xml:space="preserve">Primary</t>
  </si>
  <si>
    <t xml:space="preserve">S1014</t>
  </si>
  <si>
    <t xml:space="preserve">Rahul</t>
  </si>
  <si>
    <t xml:space="preserve">S1015</t>
  </si>
  <si>
    <t xml:space="preserve">Asha</t>
  </si>
  <si>
    <t xml:space="preserve">S1016</t>
  </si>
  <si>
    <t xml:space="preserve">Sneha</t>
  </si>
  <si>
    <t xml:space="preserve">Lucknow</t>
  </si>
  <si>
    <t xml:space="preserve">S1017</t>
  </si>
  <si>
    <t xml:space="preserve">Pradeep</t>
  </si>
  <si>
    <t xml:space="preserve">S1018</t>
  </si>
  <si>
    <t xml:space="preserve">Rohan</t>
  </si>
  <si>
    <t xml:space="preserve">Kanpur</t>
  </si>
  <si>
    <t xml:space="preserve">S1019</t>
  </si>
  <si>
    <t xml:space="preserve">Geeta</t>
  </si>
  <si>
    <t xml:space="preserve">S1020</t>
  </si>
  <si>
    <t xml:space="preserve">S1021</t>
  </si>
  <si>
    <t xml:space="preserve">Pooja</t>
  </si>
  <si>
    <t xml:space="preserve">S1022</t>
  </si>
  <si>
    <t xml:space="preserve">S1023</t>
  </si>
  <si>
    <t xml:space="preserve">Radha</t>
  </si>
  <si>
    <t xml:space="preserve">S1024</t>
  </si>
  <si>
    <t xml:space="preserve">Suman</t>
  </si>
  <si>
    <t xml:space="preserve">S1025</t>
  </si>
  <si>
    <t xml:space="preserve">Shruti</t>
  </si>
  <si>
    <t xml:space="preserve">Agra</t>
  </si>
  <si>
    <t xml:space="preserve">S1026</t>
  </si>
  <si>
    <t xml:space="preserve">Swati</t>
  </si>
  <si>
    <t xml:space="preserve">S1027</t>
  </si>
  <si>
    <t xml:space="preserve">Priya</t>
  </si>
  <si>
    <t xml:space="preserve">S1028</t>
  </si>
  <si>
    <t xml:space="preserve">Harsh</t>
  </si>
  <si>
    <t xml:space="preserve">S1029</t>
  </si>
  <si>
    <t xml:space="preserve">S1030</t>
  </si>
  <si>
    <t xml:space="preserve">S1031</t>
  </si>
  <si>
    <t xml:space="preserve">S1032</t>
  </si>
  <si>
    <t xml:space="preserve">Meera</t>
  </si>
  <si>
    <t xml:space="preserve">S1033</t>
  </si>
  <si>
    <t xml:space="preserve">Komal</t>
  </si>
  <si>
    <t xml:space="preserve">S1034</t>
  </si>
  <si>
    <t xml:space="preserve">Ananya</t>
  </si>
  <si>
    <t xml:space="preserve">S1035</t>
  </si>
  <si>
    <t xml:space="preserve">S1036</t>
  </si>
  <si>
    <t xml:space="preserve">S1037</t>
  </si>
  <si>
    <t xml:space="preserve">S1038</t>
  </si>
  <si>
    <t xml:space="preserve">Abhishek</t>
  </si>
  <si>
    <t xml:space="preserve">S1039</t>
  </si>
  <si>
    <t xml:space="preserve">S1040</t>
  </si>
  <si>
    <t xml:space="preserve">S1041</t>
  </si>
  <si>
    <t xml:space="preserve">Nikhil</t>
  </si>
  <si>
    <t xml:space="preserve">S1042</t>
  </si>
  <si>
    <t xml:space="preserve">Kavya</t>
  </si>
  <si>
    <t xml:space="preserve">S1043</t>
  </si>
  <si>
    <t xml:space="preserve">Suresh</t>
  </si>
  <si>
    <t xml:space="preserve">S1044</t>
  </si>
  <si>
    <t xml:space="preserve">S1045</t>
  </si>
  <si>
    <t xml:space="preserve">Amit</t>
  </si>
  <si>
    <t xml:space="preserve">S1046</t>
  </si>
  <si>
    <t xml:space="preserve">S1047</t>
  </si>
  <si>
    <t xml:space="preserve">S1048</t>
  </si>
  <si>
    <t xml:space="preserve">S1049</t>
  </si>
  <si>
    <t xml:space="preserve">Manish</t>
  </si>
  <si>
    <t xml:space="preserve">S1050</t>
  </si>
  <si>
    <t xml:space="preserve">Student Performance Summary</t>
  </si>
  <si>
    <t xml:space="preserve">Metric</t>
  </si>
  <si>
    <t xml:space="preserve">Value</t>
  </si>
  <si>
    <t xml:space="preserve">Total Students</t>
  </si>
  <si>
    <t xml:space="preserve">Pass Count</t>
  </si>
  <si>
    <t xml:space="preserve">Fail Count</t>
  </si>
  <si>
    <t xml:space="preserve">Pass Rate (%)</t>
  </si>
  <si>
    <t xml:space="preserve">Avg Percentage</t>
  </si>
  <si>
    <t xml:space="preserve">Highest Score</t>
  </si>
  <si>
    <t xml:space="preserve">Lowest Score</t>
  </si>
  <si>
    <t xml:space="preserve">A+ Grade Count</t>
  </si>
  <si>
    <t xml:space="preserve">Avg Study Hours</t>
  </si>
  <si>
    <t xml:space="preserve">Avg Attendance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</si>
</sst>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8" min="17" style="0" width="14"/>
    <col collapsed="false" customWidth="true" hidden="false" outlineLevel="0" max="19" min="19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n">
        <v>16</v>
      </c>
      <c r="E2" s="2" t="s">
        <v>22</v>
      </c>
      <c r="F2" s="2" t="n">
        <v>82</v>
      </c>
      <c r="G2" s="2" t="n">
        <v>75</v>
      </c>
      <c r="H2" s="2" t="n">
        <v>96</v>
      </c>
      <c r="I2" s="2" t="n">
        <v>74</v>
      </c>
      <c r="J2" s="2" t="n">
        <v>78</v>
      </c>
      <c r="K2" s="2" t="n">
        <f aca="false">SUM(F2:J2)</f>
        <v>405</v>
      </c>
      <c r="L2" s="2" t="n">
        <f aca="false">K2/500*100</f>
        <v>81</v>
      </c>
      <c r="M2" s="2" t="str">
        <f aca="false">IF(L2&gt;=90,"A+",IF(L2&gt;=80,"A",IF(L2&gt;=70,"B",IF(L2&gt;=60,"C",IF(L2&gt;=40,"D","F")))))</f>
        <v>A</v>
      </c>
      <c r="N2" s="2" t="n">
        <v>99</v>
      </c>
      <c r="O2" s="2" t="n">
        <v>6</v>
      </c>
      <c r="P2" s="2" t="s">
        <v>23</v>
      </c>
      <c r="Q2" s="2" t="s">
        <v>24</v>
      </c>
      <c r="R2" s="2" t="s">
        <v>25</v>
      </c>
      <c r="S2" s="2" t="str">
        <f aca="false">IF(L2&gt;=33,"Pass","Fail")</f>
        <v>Pass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n">
        <v>17</v>
      </c>
      <c r="E3" s="3" t="s">
        <v>29</v>
      </c>
      <c r="F3" s="3" t="n">
        <v>82</v>
      </c>
      <c r="G3" s="3" t="n">
        <v>93</v>
      </c>
      <c r="H3" s="3" t="n">
        <v>100</v>
      </c>
      <c r="I3" s="3" t="n">
        <v>87</v>
      </c>
      <c r="J3" s="3" t="n">
        <v>86</v>
      </c>
      <c r="K3" s="3" t="n">
        <f aca="false">SUM(F3:J3)</f>
        <v>448</v>
      </c>
      <c r="L3" s="3" t="n">
        <f aca="false">K3/500*100</f>
        <v>89.6</v>
      </c>
      <c r="M3" s="3" t="str">
        <f aca="false">IF(L3&gt;=90,"A+",IF(L3&gt;=80,"A",IF(L3&gt;=70,"B",IF(L3&gt;=60,"C",IF(L3&gt;=40,"D","F")))))</f>
        <v>A</v>
      </c>
      <c r="N3" s="3" t="n">
        <v>84</v>
      </c>
      <c r="O3" s="3" t="n">
        <v>6.2</v>
      </c>
      <c r="P3" s="3" t="s">
        <v>23</v>
      </c>
      <c r="Q3" s="3" t="s">
        <v>24</v>
      </c>
      <c r="R3" s="3" t="s">
        <v>24</v>
      </c>
      <c r="S3" s="3" t="str">
        <f aca="false">IF(L3&gt;=33,"Pass","Fail")</f>
        <v>Pass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28</v>
      </c>
      <c r="D4" s="2" t="n">
        <v>18</v>
      </c>
      <c r="E4" s="2" t="s">
        <v>32</v>
      </c>
      <c r="F4" s="2" t="n">
        <v>65</v>
      </c>
      <c r="G4" s="2" t="n">
        <v>79</v>
      </c>
      <c r="H4" s="2" t="n">
        <v>82</v>
      </c>
      <c r="I4" s="2" t="n">
        <v>76</v>
      </c>
      <c r="J4" s="2" t="n">
        <v>100</v>
      </c>
      <c r="K4" s="2" t="n">
        <f aca="false">SUM(F4:J4)</f>
        <v>402</v>
      </c>
      <c r="L4" s="2" t="n">
        <f aca="false">K4/500*100</f>
        <v>80.4</v>
      </c>
      <c r="M4" s="2" t="str">
        <f aca="false">IF(L4&gt;=90,"A+",IF(L4&gt;=80,"A",IF(L4&gt;=70,"B",IF(L4&gt;=60,"C",IF(L4&gt;=40,"D","F")))))</f>
        <v>A</v>
      </c>
      <c r="N4" s="2" t="n">
        <v>70</v>
      </c>
      <c r="O4" s="2" t="n">
        <v>4.7</v>
      </c>
      <c r="P4" s="2" t="s">
        <v>33</v>
      </c>
      <c r="Q4" s="2" t="s">
        <v>24</v>
      </c>
      <c r="R4" s="2" t="s">
        <v>24</v>
      </c>
      <c r="S4" s="2" t="str">
        <f aca="false">IF(L4&gt;=33,"Pass","Fail")</f>
        <v>Pass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28</v>
      </c>
      <c r="D5" s="3" t="n">
        <v>17</v>
      </c>
      <c r="E5" s="3" t="s">
        <v>36</v>
      </c>
      <c r="F5" s="3" t="n">
        <v>74</v>
      </c>
      <c r="G5" s="3" t="n">
        <v>73</v>
      </c>
      <c r="H5" s="3" t="n">
        <v>82</v>
      </c>
      <c r="I5" s="3" t="n">
        <v>100</v>
      </c>
      <c r="J5" s="3" t="n">
        <v>100</v>
      </c>
      <c r="K5" s="3" t="n">
        <f aca="false">SUM(F5:J5)</f>
        <v>429</v>
      </c>
      <c r="L5" s="3" t="n">
        <f aca="false">K5/500*100</f>
        <v>85.8</v>
      </c>
      <c r="M5" s="3" t="str">
        <f aca="false">IF(L5&gt;=90,"A+",IF(L5&gt;=80,"A",IF(L5&gt;=70,"B",IF(L5&gt;=60,"C",IF(L5&gt;=40,"D","F")))))</f>
        <v>A</v>
      </c>
      <c r="N5" s="3" t="n">
        <v>80</v>
      </c>
      <c r="O5" s="3" t="n">
        <v>5.9</v>
      </c>
      <c r="P5" s="3" t="s">
        <v>37</v>
      </c>
      <c r="Q5" s="3" t="s">
        <v>24</v>
      </c>
      <c r="R5" s="3" t="s">
        <v>24</v>
      </c>
      <c r="S5" s="3" t="str">
        <f aca="false">IF(L5&gt;=33,"Pass","Fail")</f>
        <v>Pass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28</v>
      </c>
      <c r="D6" s="2" t="n">
        <v>18</v>
      </c>
      <c r="E6" s="2" t="s">
        <v>32</v>
      </c>
      <c r="F6" s="2" t="n">
        <v>64</v>
      </c>
      <c r="G6" s="2" t="n">
        <v>65</v>
      </c>
      <c r="H6" s="2" t="n">
        <v>73</v>
      </c>
      <c r="I6" s="2" t="n">
        <v>87</v>
      </c>
      <c r="J6" s="2" t="n">
        <v>86</v>
      </c>
      <c r="K6" s="2" t="n">
        <f aca="false">SUM(F6:J6)</f>
        <v>375</v>
      </c>
      <c r="L6" s="2" t="n">
        <f aca="false">K6/500*100</f>
        <v>75</v>
      </c>
      <c r="M6" s="2" t="str">
        <f aca="false">IF(L6&gt;=90,"A+",IF(L6&gt;=80,"A",IF(L6&gt;=70,"B",IF(L6&gt;=60,"C",IF(L6&gt;=40,"D","F")))))</f>
        <v>B</v>
      </c>
      <c r="N6" s="2" t="n">
        <v>89</v>
      </c>
      <c r="O6" s="2" t="n">
        <v>6.3</v>
      </c>
      <c r="P6" s="2" t="s">
        <v>33</v>
      </c>
      <c r="Q6" s="2" t="s">
        <v>25</v>
      </c>
      <c r="R6" s="2" t="s">
        <v>25</v>
      </c>
      <c r="S6" s="2" t="str">
        <f aca="false">IF(L6&gt;=33,"Pass","Fail")</f>
        <v>Pass</v>
      </c>
    </row>
    <row r="7" customFormat="false" ht="15" hidden="false" customHeight="false" outlineLevel="0" collapsed="false">
      <c r="A7" s="3" t="s">
        <v>40</v>
      </c>
      <c r="B7" s="3" t="s">
        <v>20</v>
      </c>
      <c r="C7" s="3" t="s">
        <v>21</v>
      </c>
      <c r="D7" s="3" t="n">
        <v>18</v>
      </c>
      <c r="E7" s="3" t="s">
        <v>41</v>
      </c>
      <c r="F7" s="3" t="n">
        <v>43</v>
      </c>
      <c r="G7" s="3" t="n">
        <v>70</v>
      </c>
      <c r="H7" s="3" t="n">
        <v>52</v>
      </c>
      <c r="I7" s="3" t="n">
        <v>76</v>
      </c>
      <c r="J7" s="3" t="n">
        <v>57</v>
      </c>
      <c r="K7" s="3" t="n">
        <f aca="false">SUM(F7:J7)</f>
        <v>298</v>
      </c>
      <c r="L7" s="3" t="n">
        <f aca="false">K7/500*100</f>
        <v>59.6</v>
      </c>
      <c r="M7" s="3" t="str">
        <f aca="false">IF(L7&gt;=90,"A+",IF(L7&gt;=80,"A",IF(L7&gt;=70,"B",IF(L7&gt;=60,"C",IF(L7&gt;=40,"D","F")))))</f>
        <v>D</v>
      </c>
      <c r="N7" s="3" t="n">
        <v>68</v>
      </c>
      <c r="O7" s="3" t="n">
        <v>3.2</v>
      </c>
      <c r="P7" s="3" t="s">
        <v>37</v>
      </c>
      <c r="Q7" s="3" t="s">
        <v>25</v>
      </c>
      <c r="R7" s="3" t="s">
        <v>25</v>
      </c>
      <c r="S7" s="3" t="str">
        <f aca="false">IF(L7&gt;=33,"Pass","Fail")</f>
        <v>Pass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21</v>
      </c>
      <c r="D8" s="2" t="n">
        <v>17</v>
      </c>
      <c r="E8" s="2" t="s">
        <v>22</v>
      </c>
      <c r="F8" s="2" t="n">
        <v>69</v>
      </c>
      <c r="G8" s="2" t="n">
        <v>84</v>
      </c>
      <c r="H8" s="2" t="n">
        <v>92</v>
      </c>
      <c r="I8" s="2" t="n">
        <v>60</v>
      </c>
      <c r="J8" s="2" t="n">
        <v>86</v>
      </c>
      <c r="K8" s="2" t="n">
        <f aca="false">SUM(F8:J8)</f>
        <v>391</v>
      </c>
      <c r="L8" s="2" t="n">
        <f aca="false">K8/500*100</f>
        <v>78.2</v>
      </c>
      <c r="M8" s="2" t="str">
        <f aca="false">IF(L8&gt;=90,"A+",IF(L8&gt;=80,"A",IF(L8&gt;=70,"B",IF(L8&gt;=60,"C",IF(L8&gt;=40,"D","F")))))</f>
        <v>B</v>
      </c>
      <c r="N8" s="2" t="n">
        <v>89</v>
      </c>
      <c r="O8" s="2" t="n">
        <v>3.3</v>
      </c>
      <c r="P8" s="2" t="s">
        <v>23</v>
      </c>
      <c r="Q8" s="2" t="s">
        <v>24</v>
      </c>
      <c r="R8" s="2" t="s">
        <v>25</v>
      </c>
      <c r="S8" s="2" t="str">
        <f aca="false">IF(L8&gt;=33,"Pass","Fail")</f>
        <v>Pass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28</v>
      </c>
      <c r="D9" s="3" t="n">
        <v>16</v>
      </c>
      <c r="E9" s="3" t="s">
        <v>46</v>
      </c>
      <c r="F9" s="3" t="n">
        <v>62</v>
      </c>
      <c r="G9" s="3" t="n">
        <v>53</v>
      </c>
      <c r="H9" s="3" t="n">
        <v>88</v>
      </c>
      <c r="I9" s="3" t="n">
        <v>79</v>
      </c>
      <c r="J9" s="3" t="n">
        <v>89</v>
      </c>
      <c r="K9" s="3" t="n">
        <f aca="false">SUM(F9:J9)</f>
        <v>371</v>
      </c>
      <c r="L9" s="3" t="n">
        <f aca="false">K9/500*100</f>
        <v>74.2</v>
      </c>
      <c r="M9" s="3" t="str">
        <f aca="false">IF(L9&gt;=90,"A+",IF(L9&gt;=80,"A",IF(L9&gt;=70,"B",IF(L9&gt;=60,"C",IF(L9&gt;=40,"D","F")))))</f>
        <v>B</v>
      </c>
      <c r="N9" s="3" t="n">
        <v>87</v>
      </c>
      <c r="O9" s="3" t="n">
        <v>1.7</v>
      </c>
      <c r="P9" s="3" t="s">
        <v>33</v>
      </c>
      <c r="Q9" s="3" t="s">
        <v>24</v>
      </c>
      <c r="R9" s="3" t="s">
        <v>25</v>
      </c>
      <c r="S9" s="3" t="str">
        <f aca="false">IF(L9&gt;=33,"Pass","Fail")</f>
        <v>Pass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21</v>
      </c>
      <c r="D10" s="2" t="n">
        <v>18</v>
      </c>
      <c r="E10" s="2" t="s">
        <v>46</v>
      </c>
      <c r="F10" s="2" t="n">
        <v>70</v>
      </c>
      <c r="G10" s="2" t="n">
        <v>82</v>
      </c>
      <c r="H10" s="2" t="n">
        <v>100</v>
      </c>
      <c r="I10" s="2" t="n">
        <v>79</v>
      </c>
      <c r="J10" s="2" t="n">
        <v>96</v>
      </c>
      <c r="K10" s="2" t="n">
        <f aca="false">SUM(F10:J10)</f>
        <v>427</v>
      </c>
      <c r="L10" s="2" t="n">
        <f aca="false">K10/500*100</f>
        <v>85.4</v>
      </c>
      <c r="M10" s="2" t="str">
        <f aca="false">IF(L10&gt;=90,"A+",IF(L10&gt;=80,"A",IF(L10&gt;=70,"B",IF(L10&gt;=60,"C",IF(L10&gt;=40,"D","F")))))</f>
        <v>A</v>
      </c>
      <c r="N10" s="2" t="n">
        <v>79</v>
      </c>
      <c r="O10" s="2" t="n">
        <v>6.2</v>
      </c>
      <c r="P10" s="2" t="s">
        <v>33</v>
      </c>
      <c r="Q10" s="2" t="s">
        <v>24</v>
      </c>
      <c r="R10" s="2" t="s">
        <v>24</v>
      </c>
      <c r="S10" s="2" t="str">
        <f aca="false">IF(L10&gt;=33,"Pass","Fail")</f>
        <v>Pass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28</v>
      </c>
      <c r="D11" s="3" t="n">
        <v>16</v>
      </c>
      <c r="E11" s="3" t="s">
        <v>41</v>
      </c>
      <c r="F11" s="3" t="n">
        <v>51</v>
      </c>
      <c r="G11" s="3" t="n">
        <v>50</v>
      </c>
      <c r="H11" s="3" t="n">
        <v>61</v>
      </c>
      <c r="I11" s="3" t="n">
        <v>80</v>
      </c>
      <c r="J11" s="3" t="n">
        <v>75</v>
      </c>
      <c r="K11" s="3" t="n">
        <f aca="false">SUM(F11:J11)</f>
        <v>317</v>
      </c>
      <c r="L11" s="3" t="n">
        <f aca="false">K11/500*100</f>
        <v>63.4</v>
      </c>
      <c r="M11" s="3" t="str">
        <f aca="false">IF(L11&gt;=90,"A+",IF(L11&gt;=80,"A",IF(L11&gt;=70,"B",IF(L11&gt;=60,"C",IF(L11&gt;=40,"D","F")))))</f>
        <v>C</v>
      </c>
      <c r="N11" s="3" t="n">
        <v>83</v>
      </c>
      <c r="O11" s="3" t="n">
        <v>1.1</v>
      </c>
      <c r="P11" s="3" t="s">
        <v>23</v>
      </c>
      <c r="Q11" s="3" t="s">
        <v>24</v>
      </c>
      <c r="R11" s="3" t="s">
        <v>25</v>
      </c>
      <c r="S11" s="3" t="str">
        <f aca="false">IF(L11&gt;=33,"Pass","Fail")</f>
        <v>Pass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21</v>
      </c>
      <c r="D12" s="2" t="n">
        <v>16</v>
      </c>
      <c r="E12" s="2" t="s">
        <v>53</v>
      </c>
      <c r="F12" s="2" t="n">
        <v>65</v>
      </c>
      <c r="G12" s="2" t="n">
        <v>78</v>
      </c>
      <c r="H12" s="2" t="n">
        <v>94</v>
      </c>
      <c r="I12" s="2" t="n">
        <v>84</v>
      </c>
      <c r="J12" s="2" t="n">
        <v>83</v>
      </c>
      <c r="K12" s="2" t="n">
        <f aca="false">SUM(F12:J12)</f>
        <v>404</v>
      </c>
      <c r="L12" s="2" t="n">
        <f aca="false">K12/500*100</f>
        <v>80.8</v>
      </c>
      <c r="M12" s="2" t="str">
        <f aca="false">IF(L12&gt;=90,"A+",IF(L12&gt;=80,"A",IF(L12&gt;=70,"B",IF(L12&gt;=60,"C",IF(L12&gt;=40,"D","F")))))</f>
        <v>A</v>
      </c>
      <c r="N12" s="2" t="n">
        <v>90</v>
      </c>
      <c r="O12" s="2" t="n">
        <v>1.8</v>
      </c>
      <c r="P12" s="2" t="s">
        <v>33</v>
      </c>
      <c r="Q12" s="2" t="s">
        <v>24</v>
      </c>
      <c r="R12" s="2" t="s">
        <v>24</v>
      </c>
      <c r="S12" s="2" t="str">
        <f aca="false">IF(L12&gt;=33,"Pass","Fail")</f>
        <v>Pass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28</v>
      </c>
      <c r="D13" s="3" t="n">
        <v>17</v>
      </c>
      <c r="E13" s="3" t="s">
        <v>29</v>
      </c>
      <c r="F13" s="3" t="n">
        <v>52</v>
      </c>
      <c r="G13" s="3" t="n">
        <v>61</v>
      </c>
      <c r="H13" s="3" t="n">
        <v>66</v>
      </c>
      <c r="I13" s="3" t="n">
        <v>59</v>
      </c>
      <c r="J13" s="3" t="n">
        <v>72</v>
      </c>
      <c r="K13" s="3" t="n">
        <f aca="false">SUM(F13:J13)</f>
        <v>310</v>
      </c>
      <c r="L13" s="3" t="n">
        <f aca="false">K13/500*100</f>
        <v>62</v>
      </c>
      <c r="M13" s="3" t="str">
        <f aca="false">IF(L13&gt;=90,"A+",IF(L13&gt;=80,"A",IF(L13&gt;=70,"B",IF(L13&gt;=60,"C",IF(L13&gt;=40,"D","F")))))</f>
        <v>C</v>
      </c>
      <c r="N13" s="3" t="n">
        <v>93</v>
      </c>
      <c r="O13" s="3" t="n">
        <v>3.6</v>
      </c>
      <c r="P13" s="3" t="s">
        <v>37</v>
      </c>
      <c r="Q13" s="3" t="s">
        <v>25</v>
      </c>
      <c r="R13" s="3" t="s">
        <v>25</v>
      </c>
      <c r="S13" s="3" t="str">
        <f aca="false">IF(L13&gt;=33,"Pass","Fail")</f>
        <v>Pass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28</v>
      </c>
      <c r="D14" s="2" t="n">
        <v>17</v>
      </c>
      <c r="E14" s="2" t="s">
        <v>41</v>
      </c>
      <c r="F14" s="2" t="n">
        <v>66</v>
      </c>
      <c r="G14" s="2" t="n">
        <v>66</v>
      </c>
      <c r="H14" s="2" t="n">
        <v>97</v>
      </c>
      <c r="I14" s="2" t="n">
        <v>68</v>
      </c>
      <c r="J14" s="2" t="n">
        <v>99</v>
      </c>
      <c r="K14" s="2" t="n">
        <f aca="false">SUM(F14:J14)</f>
        <v>396</v>
      </c>
      <c r="L14" s="2" t="n">
        <f aca="false">K14/500*100</f>
        <v>79.2</v>
      </c>
      <c r="M14" s="2" t="str">
        <f aca="false">IF(L14&gt;=90,"A+",IF(L14&gt;=80,"A",IF(L14&gt;=70,"B",IF(L14&gt;=60,"C",IF(L14&gt;=40,"D","F")))))</f>
        <v>B</v>
      </c>
      <c r="N14" s="2" t="n">
        <v>100</v>
      </c>
      <c r="O14" s="2" t="n">
        <v>1.4</v>
      </c>
      <c r="P14" s="2" t="s">
        <v>58</v>
      </c>
      <c r="Q14" s="2" t="s">
        <v>24</v>
      </c>
      <c r="R14" s="2" t="s">
        <v>24</v>
      </c>
      <c r="S14" s="2" t="str">
        <f aca="false">IF(L14&gt;=33,"Pass","Fail")</f>
        <v>Pass</v>
      </c>
    </row>
    <row r="15" customFormat="false" ht="15" hidden="false" customHeight="false" outlineLevel="0" collapsed="false">
      <c r="A15" s="3" t="s">
        <v>59</v>
      </c>
      <c r="B15" s="3" t="s">
        <v>60</v>
      </c>
      <c r="C15" s="3" t="s">
        <v>28</v>
      </c>
      <c r="D15" s="3" t="n">
        <v>16</v>
      </c>
      <c r="E15" s="3" t="s">
        <v>46</v>
      </c>
      <c r="F15" s="3" t="n">
        <v>76</v>
      </c>
      <c r="G15" s="3" t="n">
        <v>87</v>
      </c>
      <c r="H15" s="3" t="n">
        <v>91</v>
      </c>
      <c r="I15" s="3" t="n">
        <v>79</v>
      </c>
      <c r="J15" s="3" t="n">
        <v>84</v>
      </c>
      <c r="K15" s="3" t="n">
        <f aca="false">SUM(F15:J15)</f>
        <v>417</v>
      </c>
      <c r="L15" s="3" t="n">
        <f aca="false">K15/500*100</f>
        <v>83.4</v>
      </c>
      <c r="M15" s="3" t="str">
        <f aca="false">IF(L15&gt;=90,"A+",IF(L15&gt;=80,"A",IF(L15&gt;=70,"B",IF(L15&gt;=60,"C",IF(L15&gt;=40,"D","F")))))</f>
        <v>A</v>
      </c>
      <c r="N15" s="3" t="n">
        <v>73</v>
      </c>
      <c r="O15" s="3" t="n">
        <v>5</v>
      </c>
      <c r="P15" s="3" t="s">
        <v>33</v>
      </c>
      <c r="Q15" s="3" t="s">
        <v>24</v>
      </c>
      <c r="R15" s="3" t="s">
        <v>25</v>
      </c>
      <c r="S15" s="3" t="str">
        <f aca="false">IF(L15&gt;=33,"Pass","Fail")</f>
        <v>Pass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21</v>
      </c>
      <c r="D16" s="2" t="n">
        <v>17</v>
      </c>
      <c r="E16" s="2" t="s">
        <v>53</v>
      </c>
      <c r="F16" s="2" t="n">
        <v>63</v>
      </c>
      <c r="G16" s="2" t="n">
        <v>68</v>
      </c>
      <c r="H16" s="2" t="n">
        <v>74</v>
      </c>
      <c r="I16" s="2" t="n">
        <v>85</v>
      </c>
      <c r="J16" s="2" t="n">
        <v>86</v>
      </c>
      <c r="K16" s="2" t="n">
        <f aca="false">SUM(F16:J16)</f>
        <v>376</v>
      </c>
      <c r="L16" s="2" t="n">
        <f aca="false">K16/500*100</f>
        <v>75.2</v>
      </c>
      <c r="M16" s="2" t="str">
        <f aca="false">IF(L16&gt;=90,"A+",IF(L16&gt;=80,"A",IF(L16&gt;=70,"B",IF(L16&gt;=60,"C",IF(L16&gt;=40,"D","F")))))</f>
        <v>B</v>
      </c>
      <c r="N16" s="2" t="n">
        <v>87</v>
      </c>
      <c r="O16" s="2" t="n">
        <v>1.6</v>
      </c>
      <c r="P16" s="2" t="s">
        <v>23</v>
      </c>
      <c r="Q16" s="2" t="s">
        <v>25</v>
      </c>
      <c r="R16" s="2" t="s">
        <v>24</v>
      </c>
      <c r="S16" s="2" t="str">
        <f aca="false">IF(L16&gt;=33,"Pass","Fail")</f>
        <v>Pass</v>
      </c>
    </row>
    <row r="17" customFormat="false" ht="15" hidden="false" customHeight="false" outlineLevel="0" collapsed="false">
      <c r="A17" s="3" t="s">
        <v>63</v>
      </c>
      <c r="B17" s="3" t="s">
        <v>64</v>
      </c>
      <c r="C17" s="3" t="s">
        <v>21</v>
      </c>
      <c r="D17" s="3" t="n">
        <v>16</v>
      </c>
      <c r="E17" s="3" t="s">
        <v>65</v>
      </c>
      <c r="F17" s="3" t="n">
        <v>54</v>
      </c>
      <c r="G17" s="3" t="n">
        <v>59</v>
      </c>
      <c r="H17" s="3" t="n">
        <v>75</v>
      </c>
      <c r="I17" s="3" t="n">
        <v>70</v>
      </c>
      <c r="J17" s="3" t="n">
        <v>65</v>
      </c>
      <c r="K17" s="3" t="n">
        <f aca="false">SUM(F17:J17)</f>
        <v>323</v>
      </c>
      <c r="L17" s="3" t="n">
        <f aca="false">K17/500*100</f>
        <v>64.6</v>
      </c>
      <c r="M17" s="3" t="str">
        <f aca="false">IF(L17&gt;=90,"A+",IF(L17&gt;=80,"A",IF(L17&gt;=70,"B",IF(L17&gt;=60,"C",IF(L17&gt;=40,"D","F")))))</f>
        <v>C</v>
      </c>
      <c r="N17" s="3" t="n">
        <v>66</v>
      </c>
      <c r="O17" s="3" t="n">
        <v>5.8</v>
      </c>
      <c r="P17" s="3" t="s">
        <v>33</v>
      </c>
      <c r="Q17" s="3" t="s">
        <v>25</v>
      </c>
      <c r="R17" s="3" t="s">
        <v>25</v>
      </c>
      <c r="S17" s="3" t="str">
        <f aca="false">IF(L17&gt;=33,"Pass","Fail")</f>
        <v>Pass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28</v>
      </c>
      <c r="D18" s="2" t="n">
        <v>17</v>
      </c>
      <c r="E18" s="2" t="s">
        <v>29</v>
      </c>
      <c r="F18" s="2" t="n">
        <v>82</v>
      </c>
      <c r="G18" s="2" t="n">
        <v>89</v>
      </c>
      <c r="H18" s="2" t="n">
        <v>94</v>
      </c>
      <c r="I18" s="2" t="n">
        <v>82</v>
      </c>
      <c r="J18" s="2" t="n">
        <v>73</v>
      </c>
      <c r="K18" s="2" t="n">
        <f aca="false">SUM(F18:J18)</f>
        <v>420</v>
      </c>
      <c r="L18" s="2" t="n">
        <f aca="false">K18/500*100</f>
        <v>84</v>
      </c>
      <c r="M18" s="2" t="str">
        <f aca="false">IF(L18&gt;=90,"A+",IF(L18&gt;=80,"A",IF(L18&gt;=70,"B",IF(L18&gt;=60,"C",IF(L18&gt;=40,"D","F")))))</f>
        <v>A</v>
      </c>
      <c r="N18" s="2" t="n">
        <v>64</v>
      </c>
      <c r="O18" s="2" t="n">
        <v>6.2</v>
      </c>
      <c r="P18" s="2" t="s">
        <v>37</v>
      </c>
      <c r="Q18" s="2" t="s">
        <v>25</v>
      </c>
      <c r="R18" s="2" t="s">
        <v>24</v>
      </c>
      <c r="S18" s="2" t="str">
        <f aca="false">IF(L18&gt;=33,"Pass","Fail")</f>
        <v>Pass</v>
      </c>
    </row>
    <row r="19" customFormat="false" ht="15" hidden="false" customHeight="false" outlineLevel="0" collapsed="false">
      <c r="A19" s="3" t="s">
        <v>68</v>
      </c>
      <c r="B19" s="3" t="s">
        <v>69</v>
      </c>
      <c r="C19" s="3" t="s">
        <v>28</v>
      </c>
      <c r="D19" s="3" t="n">
        <v>16</v>
      </c>
      <c r="E19" s="3" t="s">
        <v>70</v>
      </c>
      <c r="F19" s="3" t="n">
        <v>89</v>
      </c>
      <c r="G19" s="3" t="n">
        <v>79</v>
      </c>
      <c r="H19" s="3" t="n">
        <v>100</v>
      </c>
      <c r="I19" s="3" t="n">
        <v>71</v>
      </c>
      <c r="J19" s="3" t="n">
        <v>80</v>
      </c>
      <c r="K19" s="3" t="n">
        <f aca="false">SUM(F19:J19)</f>
        <v>419</v>
      </c>
      <c r="L19" s="3" t="n">
        <f aca="false">K19/500*100</f>
        <v>83.8</v>
      </c>
      <c r="M19" s="3" t="str">
        <f aca="false">IF(L19&gt;=90,"A+",IF(L19&gt;=80,"A",IF(L19&gt;=70,"B",IF(L19&gt;=60,"C",IF(L19&gt;=40,"D","F")))))</f>
        <v>A</v>
      </c>
      <c r="N19" s="3" t="n">
        <v>90</v>
      </c>
      <c r="O19" s="3" t="n">
        <v>3.4</v>
      </c>
      <c r="P19" s="3" t="s">
        <v>33</v>
      </c>
      <c r="Q19" s="3" t="s">
        <v>24</v>
      </c>
      <c r="R19" s="3" t="s">
        <v>24</v>
      </c>
      <c r="S19" s="3" t="str">
        <f aca="false">IF(L19&gt;=33,"Pass","Fail")</f>
        <v>Pass</v>
      </c>
    </row>
    <row r="20" customFormat="false" ht="15" hidden="false" customHeight="false" outlineLevel="0" collapsed="false">
      <c r="A20" s="2" t="s">
        <v>71</v>
      </c>
      <c r="B20" s="2" t="s">
        <v>72</v>
      </c>
      <c r="C20" s="2" t="s">
        <v>21</v>
      </c>
      <c r="D20" s="2" t="n">
        <v>16</v>
      </c>
      <c r="E20" s="2" t="s">
        <v>22</v>
      </c>
      <c r="F20" s="2" t="n">
        <v>57</v>
      </c>
      <c r="G20" s="2" t="n">
        <v>64</v>
      </c>
      <c r="H20" s="2" t="n">
        <v>72</v>
      </c>
      <c r="I20" s="2" t="n">
        <v>67</v>
      </c>
      <c r="J20" s="2" t="n">
        <v>96</v>
      </c>
      <c r="K20" s="2" t="n">
        <f aca="false">SUM(F20:J20)</f>
        <v>356</v>
      </c>
      <c r="L20" s="2" t="n">
        <f aca="false">K20/500*100</f>
        <v>71.2</v>
      </c>
      <c r="M20" s="2" t="str">
        <f aca="false">IF(L20&gt;=90,"A+",IF(L20&gt;=80,"A",IF(L20&gt;=70,"B",IF(L20&gt;=60,"C",IF(L20&gt;=40,"D","F")))))</f>
        <v>B</v>
      </c>
      <c r="N20" s="2" t="n">
        <v>95</v>
      </c>
      <c r="O20" s="2" t="n">
        <v>2.7</v>
      </c>
      <c r="P20" s="2" t="s">
        <v>37</v>
      </c>
      <c r="Q20" s="2" t="s">
        <v>24</v>
      </c>
      <c r="R20" s="2" t="s">
        <v>25</v>
      </c>
      <c r="S20" s="2" t="str">
        <f aca="false">IF(L20&gt;=33,"Pass","Fail")</f>
        <v>Pass</v>
      </c>
    </row>
    <row r="21" customFormat="false" ht="15" hidden="false" customHeight="false" outlineLevel="0" collapsed="false">
      <c r="A21" s="3" t="s">
        <v>73</v>
      </c>
      <c r="B21" s="3" t="s">
        <v>69</v>
      </c>
      <c r="C21" s="3" t="s">
        <v>28</v>
      </c>
      <c r="D21" s="3" t="n">
        <v>16</v>
      </c>
      <c r="E21" s="3" t="s">
        <v>36</v>
      </c>
      <c r="F21" s="3" t="n">
        <v>66</v>
      </c>
      <c r="G21" s="3" t="n">
        <v>100</v>
      </c>
      <c r="H21" s="3" t="n">
        <v>91</v>
      </c>
      <c r="I21" s="3" t="n">
        <v>75</v>
      </c>
      <c r="J21" s="3" t="n">
        <v>100</v>
      </c>
      <c r="K21" s="3" t="n">
        <f aca="false">SUM(F21:J21)</f>
        <v>432</v>
      </c>
      <c r="L21" s="3" t="n">
        <f aca="false">K21/500*100</f>
        <v>86.4</v>
      </c>
      <c r="M21" s="3" t="str">
        <f aca="false">IF(L21&gt;=90,"A+",IF(L21&gt;=80,"A",IF(L21&gt;=70,"B",IF(L21&gt;=60,"C",IF(L21&gt;=40,"D","F")))))</f>
        <v>A</v>
      </c>
      <c r="N21" s="3" t="n">
        <v>92</v>
      </c>
      <c r="O21" s="3" t="n">
        <v>4.5</v>
      </c>
      <c r="P21" s="3" t="s">
        <v>33</v>
      </c>
      <c r="Q21" s="3" t="s">
        <v>24</v>
      </c>
      <c r="R21" s="3" t="s">
        <v>24</v>
      </c>
      <c r="S21" s="3" t="str">
        <f aca="false">IF(L21&gt;=33,"Pass","Fail")</f>
        <v>Pass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s">
        <v>21</v>
      </c>
      <c r="D22" s="2" t="n">
        <v>16</v>
      </c>
      <c r="E22" s="2" t="s">
        <v>41</v>
      </c>
      <c r="F22" s="2" t="n">
        <v>81</v>
      </c>
      <c r="G22" s="2" t="n">
        <v>87</v>
      </c>
      <c r="H22" s="2" t="n">
        <v>74</v>
      </c>
      <c r="I22" s="2" t="n">
        <v>90</v>
      </c>
      <c r="J22" s="2" t="n">
        <v>78</v>
      </c>
      <c r="K22" s="2" t="n">
        <f aca="false">SUM(F22:J22)</f>
        <v>410</v>
      </c>
      <c r="L22" s="2" t="n">
        <f aca="false">K22/500*100</f>
        <v>82</v>
      </c>
      <c r="M22" s="2" t="str">
        <f aca="false">IF(L22&gt;=90,"A+",IF(L22&gt;=80,"A",IF(L22&gt;=70,"B",IF(L22&gt;=60,"C",IF(L22&gt;=40,"D","F")))))</f>
        <v>A</v>
      </c>
      <c r="N22" s="2" t="n">
        <v>96</v>
      </c>
      <c r="O22" s="2" t="n">
        <v>3.4</v>
      </c>
      <c r="P22" s="2" t="s">
        <v>33</v>
      </c>
      <c r="Q22" s="2" t="s">
        <v>24</v>
      </c>
      <c r="R22" s="2" t="s">
        <v>24</v>
      </c>
      <c r="S22" s="2" t="str">
        <f aca="false">IF(L22&gt;=33,"Pass","Fail")</f>
        <v>Pass</v>
      </c>
    </row>
    <row r="23" customFormat="false" ht="15" hidden="false" customHeight="false" outlineLevel="0" collapsed="false">
      <c r="A23" s="3" t="s">
        <v>76</v>
      </c>
      <c r="B23" s="3" t="s">
        <v>67</v>
      </c>
      <c r="C23" s="3" t="s">
        <v>28</v>
      </c>
      <c r="D23" s="3" t="n">
        <v>18</v>
      </c>
      <c r="E23" s="3" t="s">
        <v>29</v>
      </c>
      <c r="F23" s="3" t="n">
        <v>70</v>
      </c>
      <c r="G23" s="3" t="n">
        <v>74</v>
      </c>
      <c r="H23" s="3" t="n">
        <v>68</v>
      </c>
      <c r="I23" s="3" t="n">
        <v>71</v>
      </c>
      <c r="J23" s="3" t="n">
        <v>72</v>
      </c>
      <c r="K23" s="3" t="n">
        <f aca="false">SUM(F23:J23)</f>
        <v>355</v>
      </c>
      <c r="L23" s="3" t="n">
        <f aca="false">K23/500*100</f>
        <v>71</v>
      </c>
      <c r="M23" s="3" t="str">
        <f aca="false">IF(L23&gt;=90,"A+",IF(L23&gt;=80,"A",IF(L23&gt;=70,"B",IF(L23&gt;=60,"C",IF(L23&gt;=40,"D","F")))))</f>
        <v>B</v>
      </c>
      <c r="N23" s="3" t="n">
        <v>85</v>
      </c>
      <c r="O23" s="3" t="n">
        <v>2.4</v>
      </c>
      <c r="P23" s="3" t="s">
        <v>33</v>
      </c>
      <c r="Q23" s="3" t="s">
        <v>24</v>
      </c>
      <c r="R23" s="3" t="s">
        <v>25</v>
      </c>
      <c r="S23" s="3" t="str">
        <f aca="false">IF(L23&gt;=33,"Pass","Fail")</f>
        <v>Pass</v>
      </c>
    </row>
    <row r="24" customFormat="false" ht="15" hidden="false" customHeight="false" outlineLevel="0" collapsed="false">
      <c r="A24" s="2" t="s">
        <v>77</v>
      </c>
      <c r="B24" s="2" t="s">
        <v>78</v>
      </c>
      <c r="C24" s="2" t="s">
        <v>21</v>
      </c>
      <c r="D24" s="2" t="n">
        <v>16</v>
      </c>
      <c r="E24" s="2" t="s">
        <v>65</v>
      </c>
      <c r="F24" s="2" t="n">
        <v>49</v>
      </c>
      <c r="G24" s="2" t="n">
        <v>79</v>
      </c>
      <c r="H24" s="2" t="n">
        <v>66</v>
      </c>
      <c r="I24" s="2" t="n">
        <v>81</v>
      </c>
      <c r="J24" s="2" t="n">
        <v>60</v>
      </c>
      <c r="K24" s="2" t="n">
        <f aca="false">SUM(F24:J24)</f>
        <v>335</v>
      </c>
      <c r="L24" s="2" t="n">
        <f aca="false">K24/500*100</f>
        <v>67</v>
      </c>
      <c r="M24" s="2" t="str">
        <f aca="false">IF(L24&gt;=90,"A+",IF(L24&gt;=80,"A",IF(L24&gt;=70,"B",IF(L24&gt;=60,"C",IF(L24&gt;=40,"D","F")))))</f>
        <v>C</v>
      </c>
      <c r="N24" s="2" t="n">
        <v>73</v>
      </c>
      <c r="O24" s="2" t="n">
        <v>1.4</v>
      </c>
      <c r="P24" s="2" t="s">
        <v>23</v>
      </c>
      <c r="Q24" s="2" t="s">
        <v>25</v>
      </c>
      <c r="R24" s="2" t="s">
        <v>24</v>
      </c>
      <c r="S24" s="2" t="str">
        <f aca="false">IF(L24&gt;=33,"Pass","Fail")</f>
        <v>Pass</v>
      </c>
    </row>
    <row r="25" customFormat="false" ht="15" hidden="false" customHeight="false" outlineLevel="0" collapsed="false">
      <c r="A25" s="3" t="s">
        <v>79</v>
      </c>
      <c r="B25" s="3" t="s">
        <v>80</v>
      </c>
      <c r="C25" s="3" t="s">
        <v>21</v>
      </c>
      <c r="D25" s="3" t="n">
        <v>18</v>
      </c>
      <c r="E25" s="3" t="s">
        <v>29</v>
      </c>
      <c r="F25" s="3" t="n">
        <v>79</v>
      </c>
      <c r="G25" s="3" t="n">
        <v>89</v>
      </c>
      <c r="H25" s="3" t="n">
        <v>85</v>
      </c>
      <c r="I25" s="3" t="n">
        <v>75</v>
      </c>
      <c r="J25" s="3" t="n">
        <v>100</v>
      </c>
      <c r="K25" s="3" t="n">
        <f aca="false">SUM(F25:J25)</f>
        <v>428</v>
      </c>
      <c r="L25" s="3" t="n">
        <f aca="false">K25/500*100</f>
        <v>85.6</v>
      </c>
      <c r="M25" s="3" t="str">
        <f aca="false">IF(L25&gt;=90,"A+",IF(L25&gt;=80,"A",IF(L25&gt;=70,"B",IF(L25&gt;=60,"C",IF(L25&gt;=40,"D","F")))))</f>
        <v>A</v>
      </c>
      <c r="N25" s="3" t="n">
        <v>79</v>
      </c>
      <c r="O25" s="3" t="n">
        <v>6</v>
      </c>
      <c r="P25" s="3" t="s">
        <v>58</v>
      </c>
      <c r="Q25" s="3" t="s">
        <v>24</v>
      </c>
      <c r="R25" s="3" t="s">
        <v>25</v>
      </c>
      <c r="S25" s="3" t="str">
        <f aca="false">IF(L25&gt;=33,"Pass","Fail")</f>
        <v>Pass</v>
      </c>
    </row>
    <row r="26" customFormat="false" ht="15" hidden="false" customHeight="false" outlineLevel="0" collapsed="false">
      <c r="A26" s="2" t="s">
        <v>81</v>
      </c>
      <c r="B26" s="2" t="s">
        <v>82</v>
      </c>
      <c r="C26" s="2" t="s">
        <v>21</v>
      </c>
      <c r="D26" s="2" t="n">
        <v>16</v>
      </c>
      <c r="E26" s="2" t="s">
        <v>83</v>
      </c>
      <c r="F26" s="2" t="n">
        <v>79</v>
      </c>
      <c r="G26" s="2" t="n">
        <v>85</v>
      </c>
      <c r="H26" s="2" t="n">
        <v>100</v>
      </c>
      <c r="I26" s="2" t="n">
        <v>85</v>
      </c>
      <c r="J26" s="2" t="n">
        <v>100</v>
      </c>
      <c r="K26" s="2" t="n">
        <f aca="false">SUM(F26:J26)</f>
        <v>449</v>
      </c>
      <c r="L26" s="2" t="n">
        <f aca="false">K26/500*100</f>
        <v>89.8</v>
      </c>
      <c r="M26" s="2" t="str">
        <f aca="false">IF(L26&gt;=90,"A+",IF(L26&gt;=80,"A",IF(L26&gt;=70,"B",IF(L26&gt;=60,"C",IF(L26&gt;=40,"D","F")))))</f>
        <v>A</v>
      </c>
      <c r="N26" s="2" t="n">
        <v>95</v>
      </c>
      <c r="O26" s="2" t="n">
        <v>6.3</v>
      </c>
      <c r="P26" s="2" t="s">
        <v>33</v>
      </c>
      <c r="Q26" s="2" t="s">
        <v>24</v>
      </c>
      <c r="R26" s="2" t="s">
        <v>24</v>
      </c>
      <c r="S26" s="2" t="str">
        <f aca="false">IF(L26&gt;=33,"Pass","Fail")</f>
        <v>Pass</v>
      </c>
    </row>
    <row r="27" customFormat="false" ht="15" hidden="false" customHeight="false" outlineLevel="0" collapsed="false">
      <c r="A27" s="3" t="s">
        <v>84</v>
      </c>
      <c r="B27" s="3" t="s">
        <v>85</v>
      </c>
      <c r="C27" s="3" t="s">
        <v>21</v>
      </c>
      <c r="D27" s="3" t="n">
        <v>17</v>
      </c>
      <c r="E27" s="3" t="s">
        <v>29</v>
      </c>
      <c r="F27" s="3" t="n">
        <v>69</v>
      </c>
      <c r="G27" s="3" t="n">
        <v>67</v>
      </c>
      <c r="H27" s="3" t="n">
        <v>85</v>
      </c>
      <c r="I27" s="3" t="n">
        <v>65</v>
      </c>
      <c r="J27" s="3" t="n">
        <v>63</v>
      </c>
      <c r="K27" s="3" t="n">
        <f aca="false">SUM(F27:J27)</f>
        <v>349</v>
      </c>
      <c r="L27" s="3" t="n">
        <f aca="false">K27/500*100</f>
        <v>69.8</v>
      </c>
      <c r="M27" s="3" t="str">
        <f aca="false">IF(L27&gt;=90,"A+",IF(L27&gt;=80,"A",IF(L27&gt;=70,"B",IF(L27&gt;=60,"C",IF(L27&gt;=40,"D","F")))))</f>
        <v>C</v>
      </c>
      <c r="N27" s="3" t="n">
        <v>63</v>
      </c>
      <c r="O27" s="3" t="n">
        <v>6.4</v>
      </c>
      <c r="P27" s="3" t="s">
        <v>58</v>
      </c>
      <c r="Q27" s="3" t="s">
        <v>25</v>
      </c>
      <c r="R27" s="3" t="s">
        <v>25</v>
      </c>
      <c r="S27" s="3" t="str">
        <f aca="false">IF(L27&gt;=33,"Pass","Fail")</f>
        <v>Pass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21</v>
      </c>
      <c r="D28" s="2" t="n">
        <v>18</v>
      </c>
      <c r="E28" s="2" t="s">
        <v>83</v>
      </c>
      <c r="F28" s="2" t="n">
        <v>86</v>
      </c>
      <c r="G28" s="2" t="n">
        <v>74</v>
      </c>
      <c r="H28" s="2" t="n">
        <v>82</v>
      </c>
      <c r="I28" s="2" t="n">
        <v>79</v>
      </c>
      <c r="J28" s="2" t="n">
        <v>100</v>
      </c>
      <c r="K28" s="2" t="n">
        <f aca="false">SUM(F28:J28)</f>
        <v>421</v>
      </c>
      <c r="L28" s="2" t="n">
        <f aca="false">K28/500*100</f>
        <v>84.2</v>
      </c>
      <c r="M28" s="2" t="str">
        <f aca="false">IF(L28&gt;=90,"A+",IF(L28&gt;=80,"A",IF(L28&gt;=70,"B",IF(L28&gt;=60,"C",IF(L28&gt;=40,"D","F")))))</f>
        <v>A</v>
      </c>
      <c r="N28" s="2" t="n">
        <v>95</v>
      </c>
      <c r="O28" s="2" t="n">
        <v>5.4</v>
      </c>
      <c r="P28" s="2" t="s">
        <v>37</v>
      </c>
      <c r="Q28" s="2" t="s">
        <v>24</v>
      </c>
      <c r="R28" s="2" t="s">
        <v>24</v>
      </c>
      <c r="S28" s="2" t="str">
        <f aca="false">IF(L28&gt;=33,"Pass","Fail")</f>
        <v>Pass</v>
      </c>
    </row>
    <row r="29" customFormat="false" ht="15" hidden="false" customHeight="false" outlineLevel="0" collapsed="false">
      <c r="A29" s="3" t="s">
        <v>88</v>
      </c>
      <c r="B29" s="3" t="s">
        <v>89</v>
      </c>
      <c r="C29" s="3" t="s">
        <v>28</v>
      </c>
      <c r="D29" s="3" t="n">
        <v>17</v>
      </c>
      <c r="E29" s="3" t="s">
        <v>46</v>
      </c>
      <c r="F29" s="3" t="n">
        <v>54</v>
      </c>
      <c r="G29" s="3" t="n">
        <v>56</v>
      </c>
      <c r="H29" s="3" t="n">
        <v>69</v>
      </c>
      <c r="I29" s="3" t="n">
        <v>69</v>
      </c>
      <c r="J29" s="3" t="n">
        <v>91</v>
      </c>
      <c r="K29" s="3" t="n">
        <f aca="false">SUM(F29:J29)</f>
        <v>339</v>
      </c>
      <c r="L29" s="3" t="n">
        <f aca="false">K29/500*100</f>
        <v>67.8</v>
      </c>
      <c r="M29" s="3" t="str">
        <f aca="false">IF(L29&gt;=90,"A+",IF(L29&gt;=80,"A",IF(L29&gt;=70,"B",IF(L29&gt;=60,"C",IF(L29&gt;=40,"D","F")))))</f>
        <v>C</v>
      </c>
      <c r="N29" s="3" t="n">
        <v>69</v>
      </c>
      <c r="O29" s="3" t="n">
        <v>4.5</v>
      </c>
      <c r="P29" s="3" t="s">
        <v>37</v>
      </c>
      <c r="Q29" s="3" t="s">
        <v>24</v>
      </c>
      <c r="R29" s="3" t="s">
        <v>25</v>
      </c>
      <c r="S29" s="3" t="str">
        <f aca="false">IF(L29&gt;=33,"Pass","Fail")</f>
        <v>Pass</v>
      </c>
    </row>
    <row r="30" customFormat="false" ht="15" hidden="false" customHeight="false" outlineLevel="0" collapsed="false">
      <c r="A30" s="2" t="s">
        <v>90</v>
      </c>
      <c r="B30" s="2" t="s">
        <v>69</v>
      </c>
      <c r="C30" s="2" t="s">
        <v>28</v>
      </c>
      <c r="D30" s="2" t="n">
        <v>18</v>
      </c>
      <c r="E30" s="2" t="s">
        <v>32</v>
      </c>
      <c r="F30" s="2" t="n">
        <v>81</v>
      </c>
      <c r="G30" s="2" t="n">
        <v>90</v>
      </c>
      <c r="H30" s="2" t="n">
        <v>76</v>
      </c>
      <c r="I30" s="2" t="n">
        <v>99</v>
      </c>
      <c r="J30" s="2" t="n">
        <v>100</v>
      </c>
      <c r="K30" s="2" t="n">
        <f aca="false">SUM(F30:J30)</f>
        <v>446</v>
      </c>
      <c r="L30" s="2" t="n">
        <f aca="false">K30/500*100</f>
        <v>89.2</v>
      </c>
      <c r="M30" s="2" t="str">
        <f aca="false">IF(L30&gt;=90,"A+",IF(L30&gt;=80,"A",IF(L30&gt;=70,"B",IF(L30&gt;=60,"C",IF(L30&gt;=40,"D","F")))))</f>
        <v>A</v>
      </c>
      <c r="N30" s="2" t="n">
        <v>95</v>
      </c>
      <c r="O30" s="2" t="n">
        <v>3.1</v>
      </c>
      <c r="P30" s="2" t="s">
        <v>37</v>
      </c>
      <c r="Q30" s="2" t="s">
        <v>24</v>
      </c>
      <c r="R30" s="2" t="s">
        <v>24</v>
      </c>
      <c r="S30" s="2" t="str">
        <f aca="false">IF(L30&gt;=33,"Pass","Fail")</f>
        <v>Pass</v>
      </c>
    </row>
    <row r="31" customFormat="false" ht="15" hidden="false" customHeight="false" outlineLevel="0" collapsed="false">
      <c r="A31" s="3" t="s">
        <v>91</v>
      </c>
      <c r="B31" s="3" t="s">
        <v>80</v>
      </c>
      <c r="C31" s="3" t="s">
        <v>21</v>
      </c>
      <c r="D31" s="3" t="n">
        <v>17</v>
      </c>
      <c r="E31" s="3" t="s">
        <v>83</v>
      </c>
      <c r="F31" s="3" t="n">
        <v>75</v>
      </c>
      <c r="G31" s="3" t="n">
        <v>76</v>
      </c>
      <c r="H31" s="3" t="n">
        <v>87</v>
      </c>
      <c r="I31" s="3" t="n">
        <v>81</v>
      </c>
      <c r="J31" s="3" t="n">
        <v>88</v>
      </c>
      <c r="K31" s="3" t="n">
        <f aca="false">SUM(F31:J31)</f>
        <v>407</v>
      </c>
      <c r="L31" s="3" t="n">
        <f aca="false">K31/500*100</f>
        <v>81.4</v>
      </c>
      <c r="M31" s="3" t="str">
        <f aca="false">IF(L31&gt;=90,"A+",IF(L31&gt;=80,"A",IF(L31&gt;=70,"B",IF(L31&gt;=60,"C",IF(L31&gt;=40,"D","F")))))</f>
        <v>A</v>
      </c>
      <c r="N31" s="3" t="n">
        <v>81</v>
      </c>
      <c r="O31" s="3" t="n">
        <v>2.1</v>
      </c>
      <c r="P31" s="3" t="s">
        <v>37</v>
      </c>
      <c r="Q31" s="3" t="s">
        <v>25</v>
      </c>
      <c r="R31" s="3" t="s">
        <v>24</v>
      </c>
      <c r="S31" s="3" t="str">
        <f aca="false">IF(L31&gt;=33,"Pass","Fail")</f>
        <v>Pass</v>
      </c>
    </row>
    <row r="32" customFormat="false" ht="15" hidden="false" customHeight="false" outlineLevel="0" collapsed="false">
      <c r="A32" s="2" t="s">
        <v>92</v>
      </c>
      <c r="B32" s="2" t="s">
        <v>80</v>
      </c>
      <c r="C32" s="2" t="s">
        <v>21</v>
      </c>
      <c r="D32" s="2" t="n">
        <v>18</v>
      </c>
      <c r="E32" s="2" t="s">
        <v>83</v>
      </c>
      <c r="F32" s="2" t="n">
        <v>68</v>
      </c>
      <c r="G32" s="2" t="n">
        <v>93</v>
      </c>
      <c r="H32" s="2" t="n">
        <v>100</v>
      </c>
      <c r="I32" s="2" t="n">
        <v>84</v>
      </c>
      <c r="J32" s="2" t="n">
        <v>86</v>
      </c>
      <c r="K32" s="2" t="n">
        <f aca="false">SUM(F32:J32)</f>
        <v>431</v>
      </c>
      <c r="L32" s="2" t="n">
        <f aca="false">K32/500*100</f>
        <v>86.2</v>
      </c>
      <c r="M32" s="2" t="str">
        <f aca="false">IF(L32&gt;=90,"A+",IF(L32&gt;=80,"A",IF(L32&gt;=70,"B",IF(L32&gt;=60,"C",IF(L32&gt;=40,"D","F")))))</f>
        <v>A</v>
      </c>
      <c r="N32" s="2" t="n">
        <v>90</v>
      </c>
      <c r="O32" s="2" t="n">
        <v>6.2</v>
      </c>
      <c r="P32" s="2" t="s">
        <v>33</v>
      </c>
      <c r="Q32" s="2" t="s">
        <v>24</v>
      </c>
      <c r="R32" s="2" t="s">
        <v>25</v>
      </c>
      <c r="S32" s="2" t="str">
        <f aca="false">IF(L32&gt;=33,"Pass","Fail")</f>
        <v>Pass</v>
      </c>
    </row>
    <row r="33" customFormat="false" ht="15" hidden="false" customHeight="false" outlineLevel="0" collapsed="false">
      <c r="A33" s="3" t="s">
        <v>93</v>
      </c>
      <c r="B33" s="3" t="s">
        <v>94</v>
      </c>
      <c r="C33" s="3" t="s">
        <v>21</v>
      </c>
      <c r="D33" s="3" t="n">
        <v>17</v>
      </c>
      <c r="E33" s="3" t="s">
        <v>32</v>
      </c>
      <c r="F33" s="3" t="n">
        <v>88</v>
      </c>
      <c r="G33" s="3" t="n">
        <v>87</v>
      </c>
      <c r="H33" s="3" t="n">
        <v>76</v>
      </c>
      <c r="I33" s="3" t="n">
        <v>77</v>
      </c>
      <c r="J33" s="3" t="n">
        <v>91</v>
      </c>
      <c r="K33" s="3" t="n">
        <f aca="false">SUM(F33:J33)</f>
        <v>419</v>
      </c>
      <c r="L33" s="3" t="n">
        <f aca="false">K33/500*100</f>
        <v>83.8</v>
      </c>
      <c r="M33" s="3" t="str">
        <f aca="false">IF(L33&gt;=90,"A+",IF(L33&gt;=80,"A",IF(L33&gt;=70,"B",IF(L33&gt;=60,"C",IF(L33&gt;=40,"D","F")))))</f>
        <v>A</v>
      </c>
      <c r="N33" s="3" t="n">
        <v>77</v>
      </c>
      <c r="O33" s="3" t="n">
        <v>3.4</v>
      </c>
      <c r="P33" s="3" t="s">
        <v>58</v>
      </c>
      <c r="Q33" s="3" t="s">
        <v>24</v>
      </c>
      <c r="R33" s="3" t="s">
        <v>24</v>
      </c>
      <c r="S33" s="3" t="str">
        <f aca="false">IF(L33&gt;=33,"Pass","Fail")</f>
        <v>Pass</v>
      </c>
    </row>
    <row r="34" customFormat="false" ht="15" hidden="false" customHeight="false" outlineLevel="0" collapsed="false">
      <c r="A34" s="2" t="s">
        <v>95</v>
      </c>
      <c r="B34" s="2" t="s">
        <v>96</v>
      </c>
      <c r="C34" s="2" t="s">
        <v>21</v>
      </c>
      <c r="D34" s="2" t="n">
        <v>19</v>
      </c>
      <c r="E34" s="2" t="s">
        <v>46</v>
      </c>
      <c r="F34" s="2" t="n">
        <v>70</v>
      </c>
      <c r="G34" s="2" t="n">
        <v>87</v>
      </c>
      <c r="H34" s="2" t="n">
        <v>70</v>
      </c>
      <c r="I34" s="2" t="n">
        <v>61</v>
      </c>
      <c r="J34" s="2" t="n">
        <v>68</v>
      </c>
      <c r="K34" s="2" t="n">
        <f aca="false">SUM(F34:J34)</f>
        <v>356</v>
      </c>
      <c r="L34" s="2" t="n">
        <f aca="false">K34/500*100</f>
        <v>71.2</v>
      </c>
      <c r="M34" s="2" t="str">
        <f aca="false">IF(L34&gt;=90,"A+",IF(L34&gt;=80,"A",IF(L34&gt;=70,"B",IF(L34&gt;=60,"C",IF(L34&gt;=40,"D","F")))))</f>
        <v>B</v>
      </c>
      <c r="N34" s="2" t="n">
        <v>76</v>
      </c>
      <c r="O34" s="2" t="n">
        <v>1.7</v>
      </c>
      <c r="P34" s="2" t="s">
        <v>33</v>
      </c>
      <c r="Q34" s="2" t="s">
        <v>24</v>
      </c>
      <c r="R34" s="2" t="s">
        <v>24</v>
      </c>
      <c r="S34" s="2" t="str">
        <f aca="false">IF(L34&gt;=33,"Pass","Fail")</f>
        <v>Pass</v>
      </c>
    </row>
    <row r="35" customFormat="false" ht="15" hidden="false" customHeight="false" outlineLevel="0" collapsed="false">
      <c r="A35" s="3" t="s">
        <v>97</v>
      </c>
      <c r="B35" s="3" t="s">
        <v>98</v>
      </c>
      <c r="C35" s="3" t="s">
        <v>21</v>
      </c>
      <c r="D35" s="3" t="n">
        <v>19</v>
      </c>
      <c r="E35" s="3" t="s">
        <v>36</v>
      </c>
      <c r="F35" s="3" t="n">
        <v>69</v>
      </c>
      <c r="G35" s="3" t="n">
        <v>90</v>
      </c>
      <c r="H35" s="3" t="n">
        <v>85</v>
      </c>
      <c r="I35" s="3" t="n">
        <v>71</v>
      </c>
      <c r="J35" s="3" t="n">
        <v>78</v>
      </c>
      <c r="K35" s="3" t="n">
        <f aca="false">SUM(F35:J35)</f>
        <v>393</v>
      </c>
      <c r="L35" s="3" t="n">
        <f aca="false">K35/500*100</f>
        <v>78.6</v>
      </c>
      <c r="M35" s="3" t="str">
        <f aca="false">IF(L35&gt;=90,"A+",IF(L35&gt;=80,"A",IF(L35&gt;=70,"B",IF(L35&gt;=60,"C",IF(L35&gt;=40,"D","F")))))</f>
        <v>B</v>
      </c>
      <c r="N35" s="3" t="n">
        <v>92</v>
      </c>
      <c r="O35" s="3" t="n">
        <v>4.6</v>
      </c>
      <c r="P35" s="3" t="s">
        <v>58</v>
      </c>
      <c r="Q35" s="3" t="s">
        <v>24</v>
      </c>
      <c r="R35" s="3" t="s">
        <v>25</v>
      </c>
      <c r="S35" s="3" t="str">
        <f aca="false">IF(L35&gt;=33,"Pass","Fail")</f>
        <v>Pass</v>
      </c>
    </row>
    <row r="36" customFormat="false" ht="15" hidden="false" customHeight="false" outlineLevel="0" collapsed="false">
      <c r="A36" s="2" t="s">
        <v>99</v>
      </c>
      <c r="B36" s="2" t="s">
        <v>69</v>
      </c>
      <c r="C36" s="2" t="s">
        <v>28</v>
      </c>
      <c r="D36" s="2" t="n">
        <v>19</v>
      </c>
      <c r="E36" s="2" t="s">
        <v>65</v>
      </c>
      <c r="F36" s="2" t="n">
        <v>72</v>
      </c>
      <c r="G36" s="2" t="n">
        <v>83</v>
      </c>
      <c r="H36" s="2" t="n">
        <v>64</v>
      </c>
      <c r="I36" s="2" t="n">
        <v>82</v>
      </c>
      <c r="J36" s="2" t="n">
        <v>92</v>
      </c>
      <c r="K36" s="2" t="n">
        <f aca="false">SUM(F36:J36)</f>
        <v>393</v>
      </c>
      <c r="L36" s="2" t="n">
        <f aca="false">K36/500*100</f>
        <v>78.6</v>
      </c>
      <c r="M36" s="2" t="str">
        <f aca="false">IF(L36&gt;=90,"A+",IF(L36&gt;=80,"A",IF(L36&gt;=70,"B",IF(L36&gt;=60,"C",IF(L36&gt;=40,"D","F")))))</f>
        <v>B</v>
      </c>
      <c r="N36" s="2" t="n">
        <v>81</v>
      </c>
      <c r="O36" s="2" t="n">
        <v>3.6</v>
      </c>
      <c r="P36" s="2" t="s">
        <v>23</v>
      </c>
      <c r="Q36" s="2" t="s">
        <v>24</v>
      </c>
      <c r="R36" s="2" t="s">
        <v>25</v>
      </c>
      <c r="S36" s="2" t="str">
        <f aca="false">IF(L36&gt;=33,"Pass","Fail")</f>
        <v>Pass</v>
      </c>
    </row>
    <row r="37" customFormat="false" ht="15" hidden="false" customHeight="false" outlineLevel="0" collapsed="false">
      <c r="A37" s="3" t="s">
        <v>100</v>
      </c>
      <c r="B37" s="3" t="s">
        <v>94</v>
      </c>
      <c r="C37" s="3" t="s">
        <v>21</v>
      </c>
      <c r="D37" s="3" t="n">
        <v>18</v>
      </c>
      <c r="E37" s="3" t="s">
        <v>22</v>
      </c>
      <c r="F37" s="3" t="n">
        <v>66</v>
      </c>
      <c r="G37" s="3" t="n">
        <v>78</v>
      </c>
      <c r="H37" s="3" t="n">
        <v>91</v>
      </c>
      <c r="I37" s="3" t="n">
        <v>98</v>
      </c>
      <c r="J37" s="3" t="n">
        <v>85</v>
      </c>
      <c r="K37" s="3" t="n">
        <f aca="false">SUM(F37:J37)</f>
        <v>418</v>
      </c>
      <c r="L37" s="3" t="n">
        <f aca="false">K37/500*100</f>
        <v>83.6</v>
      </c>
      <c r="M37" s="3" t="str">
        <f aca="false">IF(L37&gt;=90,"A+",IF(L37&gt;=80,"A",IF(L37&gt;=70,"B",IF(L37&gt;=60,"C",IF(L37&gt;=40,"D","F")))))</f>
        <v>A</v>
      </c>
      <c r="N37" s="3" t="n">
        <v>95</v>
      </c>
      <c r="O37" s="3" t="n">
        <v>5.2</v>
      </c>
      <c r="P37" s="3" t="s">
        <v>33</v>
      </c>
      <c r="Q37" s="3" t="s">
        <v>24</v>
      </c>
      <c r="R37" s="3" t="s">
        <v>25</v>
      </c>
      <c r="S37" s="3" t="str">
        <f aca="false">IF(L37&gt;=33,"Pass","Fail")</f>
        <v>Pass</v>
      </c>
    </row>
    <row r="38" customFormat="false" ht="15" hidden="false" customHeight="false" outlineLevel="0" collapsed="false">
      <c r="A38" s="2" t="s">
        <v>101</v>
      </c>
      <c r="B38" s="2" t="s">
        <v>82</v>
      </c>
      <c r="C38" s="2" t="s">
        <v>21</v>
      </c>
      <c r="D38" s="2" t="n">
        <v>17</v>
      </c>
      <c r="E38" s="2" t="s">
        <v>41</v>
      </c>
      <c r="F38" s="2" t="n">
        <v>56</v>
      </c>
      <c r="G38" s="2" t="n">
        <v>58</v>
      </c>
      <c r="H38" s="2" t="n">
        <v>70</v>
      </c>
      <c r="I38" s="2" t="n">
        <v>80</v>
      </c>
      <c r="J38" s="2" t="n">
        <v>78</v>
      </c>
      <c r="K38" s="2" t="n">
        <f aca="false">SUM(F38:J38)</f>
        <v>342</v>
      </c>
      <c r="L38" s="2" t="n">
        <f aca="false">K38/500*100</f>
        <v>68.4</v>
      </c>
      <c r="M38" s="2" t="str">
        <f aca="false">IF(L38&gt;=90,"A+",IF(L38&gt;=80,"A",IF(L38&gt;=70,"B",IF(L38&gt;=60,"C",IF(L38&gt;=40,"D","F")))))</f>
        <v>C</v>
      </c>
      <c r="N38" s="2" t="n">
        <v>60</v>
      </c>
      <c r="O38" s="2" t="n">
        <v>4.3</v>
      </c>
      <c r="P38" s="2" t="s">
        <v>23</v>
      </c>
      <c r="Q38" s="2" t="s">
        <v>24</v>
      </c>
      <c r="R38" s="2" t="s">
        <v>25</v>
      </c>
      <c r="S38" s="2" t="str">
        <f aca="false">IF(L38&gt;=33,"Pass","Fail")</f>
        <v>Pass</v>
      </c>
    </row>
    <row r="39" customFormat="false" ht="15" hidden="false" customHeight="false" outlineLevel="0" collapsed="false">
      <c r="A39" s="3" t="s">
        <v>102</v>
      </c>
      <c r="B39" s="3" t="s">
        <v>103</v>
      </c>
      <c r="C39" s="3" t="s">
        <v>28</v>
      </c>
      <c r="D39" s="3" t="n">
        <v>18</v>
      </c>
      <c r="E39" s="3" t="s">
        <v>53</v>
      </c>
      <c r="F39" s="3" t="n">
        <v>79</v>
      </c>
      <c r="G39" s="3" t="n">
        <v>87</v>
      </c>
      <c r="H39" s="3" t="n">
        <v>94</v>
      </c>
      <c r="I39" s="3" t="n">
        <v>87</v>
      </c>
      <c r="J39" s="3" t="n">
        <v>90</v>
      </c>
      <c r="K39" s="3" t="n">
        <f aca="false">SUM(F39:J39)</f>
        <v>437</v>
      </c>
      <c r="L39" s="3" t="n">
        <f aca="false">K39/500*100</f>
        <v>87.4</v>
      </c>
      <c r="M39" s="3" t="str">
        <f aca="false">IF(L39&gt;=90,"A+",IF(L39&gt;=80,"A",IF(L39&gt;=70,"B",IF(L39&gt;=60,"C",IF(L39&gt;=40,"D","F")))))</f>
        <v>A</v>
      </c>
      <c r="N39" s="3" t="n">
        <v>92</v>
      </c>
      <c r="O39" s="3" t="n">
        <v>5.1</v>
      </c>
      <c r="P39" s="3" t="s">
        <v>37</v>
      </c>
      <c r="Q39" s="3" t="s">
        <v>25</v>
      </c>
      <c r="R39" s="3" t="s">
        <v>25</v>
      </c>
      <c r="S39" s="3" t="str">
        <f aca="false">IF(L39&gt;=33,"Pass","Fail")</f>
        <v>Pass</v>
      </c>
    </row>
    <row r="40" customFormat="false" ht="15" hidden="false" customHeight="false" outlineLevel="0" collapsed="false">
      <c r="A40" s="2" t="s">
        <v>104</v>
      </c>
      <c r="B40" s="2" t="s">
        <v>75</v>
      </c>
      <c r="C40" s="2" t="s">
        <v>21</v>
      </c>
      <c r="D40" s="2" t="n">
        <v>16</v>
      </c>
      <c r="E40" s="2" t="s">
        <v>29</v>
      </c>
      <c r="F40" s="2" t="n">
        <v>71</v>
      </c>
      <c r="G40" s="2" t="n">
        <v>94</v>
      </c>
      <c r="H40" s="2" t="n">
        <v>80</v>
      </c>
      <c r="I40" s="2" t="n">
        <v>76</v>
      </c>
      <c r="J40" s="2" t="n">
        <v>77</v>
      </c>
      <c r="K40" s="2" t="n">
        <f aca="false">SUM(F40:J40)</f>
        <v>398</v>
      </c>
      <c r="L40" s="2" t="n">
        <f aca="false">K40/500*100</f>
        <v>79.6</v>
      </c>
      <c r="M40" s="2" t="str">
        <f aca="false">IF(L40&gt;=90,"A+",IF(L40&gt;=80,"A",IF(L40&gt;=70,"B",IF(L40&gt;=60,"C",IF(L40&gt;=40,"D","F")))))</f>
        <v>B</v>
      </c>
      <c r="N40" s="2" t="n">
        <v>75</v>
      </c>
      <c r="O40" s="2" t="n">
        <v>5.9</v>
      </c>
      <c r="P40" s="2" t="s">
        <v>23</v>
      </c>
      <c r="Q40" s="2" t="s">
        <v>24</v>
      </c>
      <c r="R40" s="2" t="s">
        <v>24</v>
      </c>
      <c r="S40" s="2" t="str">
        <f aca="false">IF(L40&gt;=33,"Pass","Fail")</f>
        <v>Pass</v>
      </c>
    </row>
    <row r="41" customFormat="false" ht="15" hidden="false" customHeight="false" outlineLevel="0" collapsed="false">
      <c r="A41" s="3" t="s">
        <v>105</v>
      </c>
      <c r="B41" s="3" t="s">
        <v>64</v>
      </c>
      <c r="C41" s="3" t="s">
        <v>21</v>
      </c>
      <c r="D41" s="3" t="n">
        <v>17</v>
      </c>
      <c r="E41" s="3" t="s">
        <v>53</v>
      </c>
      <c r="F41" s="3" t="n">
        <v>79</v>
      </c>
      <c r="G41" s="3" t="n">
        <v>84</v>
      </c>
      <c r="H41" s="3" t="n">
        <v>79</v>
      </c>
      <c r="I41" s="3" t="n">
        <v>80</v>
      </c>
      <c r="J41" s="3" t="n">
        <v>82</v>
      </c>
      <c r="K41" s="3" t="n">
        <f aca="false">SUM(F41:J41)</f>
        <v>404</v>
      </c>
      <c r="L41" s="3" t="n">
        <f aca="false">K41/500*100</f>
        <v>80.8</v>
      </c>
      <c r="M41" s="3" t="str">
        <f aca="false">IF(L41&gt;=90,"A+",IF(L41&gt;=80,"A",IF(L41&gt;=70,"B",IF(L41&gt;=60,"C",IF(L41&gt;=40,"D","F")))))</f>
        <v>A</v>
      </c>
      <c r="N41" s="3" t="n">
        <v>100</v>
      </c>
      <c r="O41" s="3" t="n">
        <v>3.5</v>
      </c>
      <c r="P41" s="3" t="s">
        <v>33</v>
      </c>
      <c r="Q41" s="3" t="s">
        <v>24</v>
      </c>
      <c r="R41" s="3" t="s">
        <v>25</v>
      </c>
      <c r="S41" s="3" t="str">
        <f aca="false">IF(L41&gt;=33,"Pass","Fail")</f>
        <v>Pass</v>
      </c>
    </row>
    <row r="42" customFormat="false" ht="15" hidden="false" customHeight="false" outlineLevel="0" collapsed="false">
      <c r="A42" s="2" t="s">
        <v>106</v>
      </c>
      <c r="B42" s="2" t="s">
        <v>107</v>
      </c>
      <c r="C42" s="2" t="s">
        <v>28</v>
      </c>
      <c r="D42" s="2" t="n">
        <v>17</v>
      </c>
      <c r="E42" s="2" t="s">
        <v>65</v>
      </c>
      <c r="F42" s="2" t="n">
        <v>51</v>
      </c>
      <c r="G42" s="2" t="n">
        <v>72</v>
      </c>
      <c r="H42" s="2" t="n">
        <v>67</v>
      </c>
      <c r="I42" s="2" t="n">
        <v>87</v>
      </c>
      <c r="J42" s="2" t="n">
        <v>90</v>
      </c>
      <c r="K42" s="2" t="n">
        <f aca="false">SUM(F42:J42)</f>
        <v>367</v>
      </c>
      <c r="L42" s="2" t="n">
        <f aca="false">K42/500*100</f>
        <v>73.4</v>
      </c>
      <c r="M42" s="2" t="str">
        <f aca="false">IF(L42&gt;=90,"A+",IF(L42&gt;=80,"A",IF(L42&gt;=70,"B",IF(L42&gt;=60,"C",IF(L42&gt;=40,"D","F")))))</f>
        <v>B</v>
      </c>
      <c r="N42" s="2" t="n">
        <v>93</v>
      </c>
      <c r="O42" s="2" t="n">
        <v>2.3</v>
      </c>
      <c r="P42" s="2" t="s">
        <v>37</v>
      </c>
      <c r="Q42" s="2" t="s">
        <v>24</v>
      </c>
      <c r="R42" s="2" t="s">
        <v>25</v>
      </c>
      <c r="S42" s="2" t="str">
        <f aca="false">IF(L42&gt;=33,"Pass","Fail")</f>
        <v>Pass</v>
      </c>
    </row>
    <row r="43" customFormat="false" ht="15" hidden="false" customHeight="false" outlineLevel="0" collapsed="false">
      <c r="A43" s="3" t="s">
        <v>108</v>
      </c>
      <c r="B43" s="3" t="s">
        <v>109</v>
      </c>
      <c r="C43" s="3" t="s">
        <v>21</v>
      </c>
      <c r="D43" s="3" t="n">
        <v>19</v>
      </c>
      <c r="E43" s="3" t="s">
        <v>83</v>
      </c>
      <c r="F43" s="3" t="n">
        <v>84</v>
      </c>
      <c r="G43" s="3" t="n">
        <v>92</v>
      </c>
      <c r="H43" s="3" t="n">
        <v>85</v>
      </c>
      <c r="I43" s="3" t="n">
        <v>80</v>
      </c>
      <c r="J43" s="3" t="n">
        <v>99</v>
      </c>
      <c r="K43" s="3" t="n">
        <f aca="false">SUM(F43:J43)</f>
        <v>440</v>
      </c>
      <c r="L43" s="3" t="n">
        <f aca="false">K43/500*100</f>
        <v>88</v>
      </c>
      <c r="M43" s="3" t="str">
        <f aca="false">IF(L43&gt;=90,"A+",IF(L43&gt;=80,"A",IF(L43&gt;=70,"B",IF(L43&gt;=60,"C",IF(L43&gt;=40,"D","F")))))</f>
        <v>A</v>
      </c>
      <c r="N43" s="3" t="n">
        <v>88</v>
      </c>
      <c r="O43" s="3" t="n">
        <v>6.7</v>
      </c>
      <c r="P43" s="3" t="s">
        <v>37</v>
      </c>
      <c r="Q43" s="3" t="s">
        <v>25</v>
      </c>
      <c r="R43" s="3" t="s">
        <v>25</v>
      </c>
      <c r="S43" s="3" t="str">
        <f aca="false">IF(L43&gt;=33,"Pass","Fail")</f>
        <v>Pass</v>
      </c>
    </row>
    <row r="44" customFormat="false" ht="15" hidden="false" customHeight="false" outlineLevel="0" collapsed="false">
      <c r="A44" s="2" t="s">
        <v>110</v>
      </c>
      <c r="B44" s="2" t="s">
        <v>111</v>
      </c>
      <c r="C44" s="2" t="s">
        <v>28</v>
      </c>
      <c r="D44" s="2" t="n">
        <v>19</v>
      </c>
      <c r="E44" s="2" t="s">
        <v>53</v>
      </c>
      <c r="F44" s="2" t="n">
        <v>86</v>
      </c>
      <c r="G44" s="2" t="n">
        <v>78</v>
      </c>
      <c r="H44" s="2" t="n">
        <v>84</v>
      </c>
      <c r="I44" s="2" t="n">
        <v>88</v>
      </c>
      <c r="J44" s="2" t="n">
        <v>81</v>
      </c>
      <c r="K44" s="2" t="n">
        <f aca="false">SUM(F44:J44)</f>
        <v>417</v>
      </c>
      <c r="L44" s="2" t="n">
        <f aca="false">K44/500*100</f>
        <v>83.4</v>
      </c>
      <c r="M44" s="2" t="str">
        <f aca="false">IF(L44&gt;=90,"A+",IF(L44&gt;=80,"A",IF(L44&gt;=70,"B",IF(L44&gt;=60,"C",IF(L44&gt;=40,"D","F")))))</f>
        <v>A</v>
      </c>
      <c r="N44" s="2" t="n">
        <v>77</v>
      </c>
      <c r="O44" s="2" t="n">
        <v>6</v>
      </c>
      <c r="P44" s="2" t="s">
        <v>37</v>
      </c>
      <c r="Q44" s="2" t="s">
        <v>24</v>
      </c>
      <c r="R44" s="2" t="s">
        <v>24</v>
      </c>
      <c r="S44" s="2" t="str">
        <f aca="false">IF(L44&gt;=33,"Pass","Fail")</f>
        <v>Pass</v>
      </c>
    </row>
    <row r="45" customFormat="false" ht="15" hidden="false" customHeight="false" outlineLevel="0" collapsed="false">
      <c r="A45" s="3" t="s">
        <v>112</v>
      </c>
      <c r="B45" s="3" t="s">
        <v>89</v>
      </c>
      <c r="C45" s="3" t="s">
        <v>28</v>
      </c>
      <c r="D45" s="3" t="n">
        <v>18</v>
      </c>
      <c r="E45" s="3" t="s">
        <v>32</v>
      </c>
      <c r="F45" s="3" t="n">
        <v>57</v>
      </c>
      <c r="G45" s="3" t="n">
        <v>62</v>
      </c>
      <c r="H45" s="3" t="n">
        <v>70</v>
      </c>
      <c r="I45" s="3" t="n">
        <v>73</v>
      </c>
      <c r="J45" s="3" t="n">
        <v>88</v>
      </c>
      <c r="K45" s="3" t="n">
        <f aca="false">SUM(F45:J45)</f>
        <v>350</v>
      </c>
      <c r="L45" s="3" t="n">
        <f aca="false">K45/500*100</f>
        <v>70</v>
      </c>
      <c r="M45" s="3" t="str">
        <f aca="false">IF(L45&gt;=90,"A+",IF(L45&gt;=80,"A",IF(L45&gt;=70,"B",IF(L45&gt;=60,"C",IF(L45&gt;=40,"D","F")))))</f>
        <v>B</v>
      </c>
      <c r="N45" s="3" t="n">
        <v>94</v>
      </c>
      <c r="O45" s="3" t="n">
        <v>2.9</v>
      </c>
      <c r="P45" s="3" t="s">
        <v>58</v>
      </c>
      <c r="Q45" s="3" t="s">
        <v>24</v>
      </c>
      <c r="R45" s="3" t="s">
        <v>25</v>
      </c>
      <c r="S45" s="3" t="str">
        <f aca="false">IF(L45&gt;=33,"Pass","Fail")</f>
        <v>Pass</v>
      </c>
    </row>
    <row r="46" customFormat="false" ht="15" hidden="false" customHeight="false" outlineLevel="0" collapsed="false">
      <c r="A46" s="2" t="s">
        <v>113</v>
      </c>
      <c r="B46" s="2" t="s">
        <v>114</v>
      </c>
      <c r="C46" s="2" t="s">
        <v>28</v>
      </c>
      <c r="D46" s="2" t="n">
        <v>17</v>
      </c>
      <c r="E46" s="2" t="s">
        <v>70</v>
      </c>
      <c r="F46" s="2" t="n">
        <v>48</v>
      </c>
      <c r="G46" s="2" t="n">
        <v>58</v>
      </c>
      <c r="H46" s="2" t="n">
        <v>83</v>
      </c>
      <c r="I46" s="2" t="n">
        <v>68</v>
      </c>
      <c r="J46" s="2" t="n">
        <v>72</v>
      </c>
      <c r="K46" s="2" t="n">
        <f aca="false">SUM(F46:J46)</f>
        <v>329</v>
      </c>
      <c r="L46" s="2" t="n">
        <f aca="false">K46/500*100</f>
        <v>65.8</v>
      </c>
      <c r="M46" s="2" t="str">
        <f aca="false">IF(L46&gt;=90,"A+",IF(L46&gt;=80,"A",IF(L46&gt;=70,"B",IF(L46&gt;=60,"C",IF(L46&gt;=40,"D","F")))))</f>
        <v>C</v>
      </c>
      <c r="N46" s="2" t="n">
        <v>89</v>
      </c>
      <c r="O46" s="2" t="n">
        <v>3</v>
      </c>
      <c r="P46" s="2" t="s">
        <v>37</v>
      </c>
      <c r="Q46" s="2" t="s">
        <v>25</v>
      </c>
      <c r="R46" s="2" t="s">
        <v>25</v>
      </c>
      <c r="S46" s="2" t="str">
        <f aca="false">IF(L46&gt;=33,"Pass","Fail")</f>
        <v>Pass</v>
      </c>
    </row>
    <row r="47" customFormat="false" ht="15" hidden="false" customHeight="false" outlineLevel="0" collapsed="false">
      <c r="A47" s="3" t="s">
        <v>115</v>
      </c>
      <c r="B47" s="3" t="s">
        <v>50</v>
      </c>
      <c r="C47" s="3" t="s">
        <v>28</v>
      </c>
      <c r="D47" s="3" t="n">
        <v>16</v>
      </c>
      <c r="E47" s="3" t="s">
        <v>41</v>
      </c>
      <c r="F47" s="3" t="n">
        <v>63</v>
      </c>
      <c r="G47" s="3" t="n">
        <v>56</v>
      </c>
      <c r="H47" s="3" t="n">
        <v>76</v>
      </c>
      <c r="I47" s="3" t="n">
        <v>75</v>
      </c>
      <c r="J47" s="3" t="n">
        <v>82</v>
      </c>
      <c r="K47" s="3" t="n">
        <f aca="false">SUM(F47:J47)</f>
        <v>352</v>
      </c>
      <c r="L47" s="3" t="n">
        <f aca="false">K47/500*100</f>
        <v>70.4</v>
      </c>
      <c r="M47" s="3" t="str">
        <f aca="false">IF(L47&gt;=90,"A+",IF(L47&gt;=80,"A",IF(L47&gt;=70,"B",IF(L47&gt;=60,"C",IF(L47&gt;=40,"D","F")))))</f>
        <v>B</v>
      </c>
      <c r="N47" s="3" t="n">
        <v>82</v>
      </c>
      <c r="O47" s="3" t="n">
        <v>1</v>
      </c>
      <c r="P47" s="3" t="s">
        <v>23</v>
      </c>
      <c r="Q47" s="3" t="s">
        <v>25</v>
      </c>
      <c r="R47" s="3" t="s">
        <v>25</v>
      </c>
      <c r="S47" s="3" t="str">
        <f aca="false">IF(L47&gt;=33,"Pass","Fail")</f>
        <v>Pass</v>
      </c>
    </row>
    <row r="48" customFormat="false" ht="15" hidden="false" customHeight="false" outlineLevel="0" collapsed="false">
      <c r="A48" s="2" t="s">
        <v>116</v>
      </c>
      <c r="B48" s="2" t="s">
        <v>67</v>
      </c>
      <c r="C48" s="2" t="s">
        <v>28</v>
      </c>
      <c r="D48" s="2" t="n">
        <v>17</v>
      </c>
      <c r="E48" s="2" t="s">
        <v>53</v>
      </c>
      <c r="F48" s="2" t="n">
        <v>55</v>
      </c>
      <c r="G48" s="2" t="n">
        <v>71</v>
      </c>
      <c r="H48" s="2" t="n">
        <v>76</v>
      </c>
      <c r="I48" s="2" t="n">
        <v>78</v>
      </c>
      <c r="J48" s="2" t="n">
        <v>70</v>
      </c>
      <c r="K48" s="2" t="n">
        <f aca="false">SUM(F48:J48)</f>
        <v>350</v>
      </c>
      <c r="L48" s="2" t="n">
        <f aca="false">K48/500*100</f>
        <v>70</v>
      </c>
      <c r="M48" s="2" t="str">
        <f aca="false">IF(L48&gt;=90,"A+",IF(L48&gt;=80,"A",IF(L48&gt;=70,"B",IF(L48&gt;=60,"C",IF(L48&gt;=40,"D","F")))))</f>
        <v>B</v>
      </c>
      <c r="N48" s="2" t="n">
        <v>61</v>
      </c>
      <c r="O48" s="2" t="n">
        <v>3.6</v>
      </c>
      <c r="P48" s="2" t="s">
        <v>37</v>
      </c>
      <c r="Q48" s="2" t="s">
        <v>24</v>
      </c>
      <c r="R48" s="2" t="s">
        <v>25</v>
      </c>
      <c r="S48" s="2" t="str">
        <f aca="false">IF(L48&gt;=33,"Pass","Fail")</f>
        <v>Pass</v>
      </c>
    </row>
    <row r="49" customFormat="false" ht="15" hidden="false" customHeight="false" outlineLevel="0" collapsed="false">
      <c r="A49" s="3" t="s">
        <v>117</v>
      </c>
      <c r="B49" s="3" t="s">
        <v>45</v>
      </c>
      <c r="C49" s="3" t="s">
        <v>28</v>
      </c>
      <c r="D49" s="3" t="n">
        <v>17</v>
      </c>
      <c r="E49" s="3" t="s">
        <v>53</v>
      </c>
      <c r="F49" s="3" t="n">
        <v>75</v>
      </c>
      <c r="G49" s="3" t="n">
        <v>98</v>
      </c>
      <c r="H49" s="3" t="n">
        <v>96</v>
      </c>
      <c r="I49" s="3" t="n">
        <v>85</v>
      </c>
      <c r="J49" s="3" t="n">
        <v>100</v>
      </c>
      <c r="K49" s="3" t="n">
        <f aca="false">SUM(F49:J49)</f>
        <v>454</v>
      </c>
      <c r="L49" s="3" t="n">
        <f aca="false">K49/500*100</f>
        <v>90.8</v>
      </c>
      <c r="M49" s="3" t="str">
        <f aca="false">IF(L49&gt;=90,"A+",IF(L49&gt;=80,"A",IF(L49&gt;=70,"B",IF(L49&gt;=60,"C",IF(L49&gt;=40,"D","F")))))</f>
        <v>A+</v>
      </c>
      <c r="N49" s="3" t="n">
        <v>97</v>
      </c>
      <c r="O49" s="3" t="n">
        <v>6.4</v>
      </c>
      <c r="P49" s="3" t="s">
        <v>58</v>
      </c>
      <c r="Q49" s="3" t="s">
        <v>24</v>
      </c>
      <c r="R49" s="3" t="s">
        <v>24</v>
      </c>
      <c r="S49" s="3" t="str">
        <f aca="false">IF(L49&gt;=33,"Pass","Fail")</f>
        <v>Pass</v>
      </c>
    </row>
    <row r="50" customFormat="false" ht="15" hidden="false" customHeight="false" outlineLevel="0" collapsed="false">
      <c r="A50" s="2" t="s">
        <v>118</v>
      </c>
      <c r="B50" s="2" t="s">
        <v>119</v>
      </c>
      <c r="C50" s="2" t="s">
        <v>28</v>
      </c>
      <c r="D50" s="2" t="n">
        <v>17</v>
      </c>
      <c r="E50" s="2" t="s">
        <v>65</v>
      </c>
      <c r="F50" s="2" t="n">
        <v>62</v>
      </c>
      <c r="G50" s="2" t="n">
        <v>81</v>
      </c>
      <c r="H50" s="2" t="n">
        <v>90</v>
      </c>
      <c r="I50" s="2" t="n">
        <v>72</v>
      </c>
      <c r="J50" s="2" t="n">
        <v>73</v>
      </c>
      <c r="K50" s="2" t="n">
        <f aca="false">SUM(F50:J50)</f>
        <v>378</v>
      </c>
      <c r="L50" s="2" t="n">
        <f aca="false">K50/500*100</f>
        <v>75.6</v>
      </c>
      <c r="M50" s="2" t="str">
        <f aca="false">IF(L50&gt;=90,"A+",IF(L50&gt;=80,"A",IF(L50&gt;=70,"B",IF(L50&gt;=60,"C",IF(L50&gt;=40,"D","F")))))</f>
        <v>B</v>
      </c>
      <c r="N50" s="2" t="n">
        <v>89</v>
      </c>
      <c r="O50" s="2" t="n">
        <v>3</v>
      </c>
      <c r="P50" s="2" t="s">
        <v>23</v>
      </c>
      <c r="Q50" s="2" t="s">
        <v>24</v>
      </c>
      <c r="R50" s="2" t="s">
        <v>25</v>
      </c>
      <c r="S50" s="2" t="str">
        <f aca="false">IF(L50&gt;=33,"Pass","Fail")</f>
        <v>Pass</v>
      </c>
    </row>
    <row r="51" customFormat="false" ht="15" hidden="false" customHeight="false" outlineLevel="0" collapsed="false">
      <c r="A51" s="3" t="s">
        <v>120</v>
      </c>
      <c r="B51" s="3" t="s">
        <v>78</v>
      </c>
      <c r="C51" s="3" t="s">
        <v>21</v>
      </c>
      <c r="D51" s="3" t="n">
        <v>19</v>
      </c>
      <c r="E51" s="3" t="s">
        <v>29</v>
      </c>
      <c r="F51" s="3" t="n">
        <v>78</v>
      </c>
      <c r="G51" s="3" t="n">
        <v>64</v>
      </c>
      <c r="H51" s="3" t="n">
        <v>65</v>
      </c>
      <c r="I51" s="3" t="n">
        <v>76</v>
      </c>
      <c r="J51" s="3" t="n">
        <v>63</v>
      </c>
      <c r="K51" s="3" t="n">
        <f aca="false">SUM(F51:J51)</f>
        <v>346</v>
      </c>
      <c r="L51" s="3" t="n">
        <f aca="false">K51/500*100</f>
        <v>69.2</v>
      </c>
      <c r="M51" s="3" t="str">
        <f aca="false">IF(L51&gt;=90,"A+",IF(L51&gt;=80,"A",IF(L51&gt;=70,"B",IF(L51&gt;=60,"C",IF(L51&gt;=40,"D","F")))))</f>
        <v>C</v>
      </c>
      <c r="N51" s="3" t="n">
        <v>94</v>
      </c>
      <c r="O51" s="3" t="n">
        <v>1.1</v>
      </c>
      <c r="P51" s="3" t="s">
        <v>58</v>
      </c>
      <c r="Q51" s="3" t="s">
        <v>24</v>
      </c>
      <c r="R51" s="3" t="s">
        <v>25</v>
      </c>
      <c r="S51" s="3" t="str">
        <f aca="false">IF(L51&gt;=33,"Pass","Fail")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4" t="s">
        <v>121</v>
      </c>
      <c r="B1" s="4"/>
      <c r="C1" s="4"/>
    </row>
    <row r="3" customFormat="false" ht="15" hidden="false" customHeight="false" outlineLevel="0" collapsed="false">
      <c r="A3" s="5" t="s">
        <v>122</v>
      </c>
      <c r="B3" s="5" t="s">
        <v>123</v>
      </c>
    </row>
    <row r="4" customFormat="false" ht="15" hidden="false" customHeight="false" outlineLevel="0" collapsed="false">
      <c r="A4" s="6" t="s">
        <v>124</v>
      </c>
      <c r="B4" s="7" t="n">
        <f aca="false">COUNTA(Student_Data!A2:A51)</f>
        <v>50</v>
      </c>
    </row>
    <row r="5" customFormat="false" ht="15" hidden="false" customHeight="false" outlineLevel="0" collapsed="false">
      <c r="A5" s="8" t="s">
        <v>125</v>
      </c>
      <c r="B5" s="9" t="n">
        <f aca="false">COUNTIF(Student_Data!S2:S51,"Pass")</f>
        <v>50</v>
      </c>
    </row>
    <row r="6" customFormat="false" ht="15" hidden="false" customHeight="false" outlineLevel="0" collapsed="false">
      <c r="A6" s="6" t="s">
        <v>126</v>
      </c>
      <c r="B6" s="7" t="n">
        <f aca="false">COUNTIF(Student_Data!S2:S51,"Fail")</f>
        <v>0</v>
      </c>
    </row>
    <row r="7" customFormat="false" ht="15" hidden="false" customHeight="false" outlineLevel="0" collapsed="false">
      <c r="A7" s="8" t="s">
        <v>127</v>
      </c>
      <c r="B7" s="9" t="n">
        <f aca="false">B5/B4*100</f>
        <v>100</v>
      </c>
    </row>
    <row r="8" customFormat="false" ht="15" hidden="false" customHeight="false" outlineLevel="0" collapsed="false">
      <c r="A8" s="6" t="s">
        <v>128</v>
      </c>
      <c r="B8" s="7" t="n">
        <f aca="false">AVERAGE(Student_Data!L2:L51)</f>
        <v>77.716</v>
      </c>
    </row>
    <row r="9" customFormat="false" ht="15" hidden="false" customHeight="false" outlineLevel="0" collapsed="false">
      <c r="A9" s="8" t="s">
        <v>129</v>
      </c>
      <c r="B9" s="9" t="n">
        <f aca="false">MAX(Student_Data!L2:L51)</f>
        <v>90.8</v>
      </c>
    </row>
    <row r="10" customFormat="false" ht="15" hidden="false" customHeight="false" outlineLevel="0" collapsed="false">
      <c r="A10" s="6" t="s">
        <v>130</v>
      </c>
      <c r="B10" s="7" t="n">
        <f aca="false">MIN(Student_Data!L2:L51)</f>
        <v>59.6</v>
      </c>
    </row>
    <row r="11" customFormat="false" ht="15" hidden="false" customHeight="false" outlineLevel="0" collapsed="false">
      <c r="A11" s="8" t="s">
        <v>131</v>
      </c>
      <c r="B11" s="9" t="n">
        <f aca="false">COUNTIF(Student_Data!M2:M51,"A+")</f>
        <v>1</v>
      </c>
    </row>
    <row r="12" customFormat="false" ht="15" hidden="false" customHeight="false" outlineLevel="0" collapsed="false">
      <c r="A12" s="6" t="s">
        <v>132</v>
      </c>
      <c r="B12" s="7" t="n">
        <f aca="false">AVERAGE(Student_Data!O2:O51)</f>
        <v>4.022</v>
      </c>
    </row>
    <row r="13" customFormat="false" ht="15" hidden="false" customHeight="false" outlineLevel="0" collapsed="false">
      <c r="A13" s="8" t="s">
        <v>133</v>
      </c>
      <c r="B13" s="9" t="n">
        <f aca="false">AVERAGE(Student_Data!N2:N51)</f>
        <v>84.22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2026-03-23T13:27:34Z</dcterms:created>
  <dc:creator>openpyxl</dc:creator>
  <dc:description/>
  <dc:language>en-US</dc:language>
  <cp:lastModifiedBy/>
  <dcterms:modified xsi:type="dcterms:W3CDTF">2026-03-23T13:27:34Z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